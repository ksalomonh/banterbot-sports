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https://d.docs.live.net/9de2d702cf34cf5d/Rusia2018/"/>
    </mc:Choice>
  </mc:AlternateContent>
  <xr:revisionPtr revIDLastSave="0" documentId="8_{E8070880-0558-42E3-972C-A6C49B54D88A}" xr6:coauthVersionLast="47" xr6:coauthVersionMax="47" xr10:uidLastSave="{00000000-0000-0000-0000-000000000000}"/>
  <bookViews>
    <workbookView xWindow="0" yWindow="0" windowWidth="20496" windowHeight="7536" firstSheet="2" activeTab="2" xr2:uid="{00000000-000D-0000-FFFF-FFFF00000000}"/>
  </bookViews>
  <sheets>
    <sheet name="Bases" sheetId="17" r:id="rId1"/>
    <sheet name="Participantes" sheetId="1" r:id="rId2"/>
    <sheet name="Tabla general" sheetId="3" r:id="rId3"/>
    <sheet name="Sem 1 - Partidos" sheetId="4" r:id="rId4"/>
    <sheet name="Sem 2 - Partidos" sheetId="14" r:id="rId5"/>
    <sheet name="Sem 3 - Partidos" sheetId="15" r:id="rId6"/>
    <sheet name="Sem 4 - Partidos" sheetId="16" r:id="rId7"/>
  </sheets>
  <externalReferences>
    <externalReference r:id="rId8"/>
  </externalReferences>
  <definedNames>
    <definedName name="participantes" localSheetId="0">[1]Participantes!$A$2:$D$101</definedName>
    <definedName name="participantes">Participantes!$A$2:$D$101</definedName>
    <definedName name="PronosticosSem1">'Sem 1 - Partidos'!$G$2:$AZ$30</definedName>
    <definedName name="PronosticosSem2">'Sem 2 - Partidos'!$G$2:$AZ$31</definedName>
    <definedName name="PronosticosSem3">'Sem 3 - Partidos'!$G$2:$AZ$14</definedName>
    <definedName name="PronosticosSem4">'Sem 4 - Partidos'!$G$2:$AZ$14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6" i="14" l="1"/>
  <c r="C10" i="3"/>
  <c r="AZ13" i="16"/>
  <c r="AW13" i="16"/>
  <c r="AT13" i="16"/>
  <c r="AQ13" i="16"/>
  <c r="AN13" i="16"/>
  <c r="AK13" i="16"/>
  <c r="AH13" i="16"/>
  <c r="AE13" i="16"/>
  <c r="AB13" i="16"/>
  <c r="Y13" i="16"/>
  <c r="V13" i="16"/>
  <c r="S13" i="16"/>
  <c r="P13" i="16"/>
  <c r="M13" i="16"/>
  <c r="J13" i="16"/>
  <c r="G13" i="16"/>
  <c r="AZ12" i="16"/>
  <c r="AW12" i="16"/>
  <c r="AT12" i="16"/>
  <c r="AQ12" i="16"/>
  <c r="AN12" i="16"/>
  <c r="AK12" i="16"/>
  <c r="AH12" i="16"/>
  <c r="AE12" i="16"/>
  <c r="AB12" i="16"/>
  <c r="Y12" i="16"/>
  <c r="V12" i="16"/>
  <c r="S12" i="16"/>
  <c r="P12" i="16"/>
  <c r="M12" i="16"/>
  <c r="J12" i="16"/>
  <c r="G12" i="16"/>
  <c r="AZ11" i="16"/>
  <c r="AW11" i="16"/>
  <c r="AT11" i="16"/>
  <c r="AQ11" i="16"/>
  <c r="AN11" i="16"/>
  <c r="AK11" i="16"/>
  <c r="AH11" i="16"/>
  <c r="AE11" i="16"/>
  <c r="AB11" i="16"/>
  <c r="Y11" i="16"/>
  <c r="V11" i="16"/>
  <c r="S11" i="16"/>
  <c r="P11" i="16"/>
  <c r="M11" i="16"/>
  <c r="J11" i="16"/>
  <c r="G11" i="16"/>
  <c r="AZ10" i="16"/>
  <c r="AW10" i="16"/>
  <c r="AT10" i="16"/>
  <c r="AQ10" i="16"/>
  <c r="AN10" i="16"/>
  <c r="AK10" i="16"/>
  <c r="AH10" i="16"/>
  <c r="AE10" i="16"/>
  <c r="AB10" i="16"/>
  <c r="Y10" i="16"/>
  <c r="V10" i="16"/>
  <c r="S10" i="16"/>
  <c r="P10" i="16"/>
  <c r="M10" i="16"/>
  <c r="J10" i="16"/>
  <c r="G10" i="16"/>
  <c r="AZ9" i="16"/>
  <c r="AW9" i="16"/>
  <c r="AT9" i="16"/>
  <c r="AQ9" i="16"/>
  <c r="AN9" i="16"/>
  <c r="AK9" i="16"/>
  <c r="AH9" i="16"/>
  <c r="AE9" i="16"/>
  <c r="AB9" i="16"/>
  <c r="Y9" i="16"/>
  <c r="V9" i="16"/>
  <c r="S9" i="16"/>
  <c r="P9" i="16"/>
  <c r="M9" i="16"/>
  <c r="J9" i="16"/>
  <c r="G9" i="16"/>
  <c r="AZ8" i="16"/>
  <c r="AW8" i="16"/>
  <c r="AT8" i="16"/>
  <c r="AQ8" i="16"/>
  <c r="AN8" i="16"/>
  <c r="AK8" i="16"/>
  <c r="AH8" i="16"/>
  <c r="AE8" i="16"/>
  <c r="AB8" i="16"/>
  <c r="Y8" i="16"/>
  <c r="V8" i="16"/>
  <c r="S8" i="16"/>
  <c r="P8" i="16"/>
  <c r="M8" i="16"/>
  <c r="J8" i="16"/>
  <c r="G8" i="16"/>
  <c r="AZ7" i="16"/>
  <c r="AW7" i="16"/>
  <c r="AT7" i="16"/>
  <c r="AQ7" i="16"/>
  <c r="AN7" i="16"/>
  <c r="AK7" i="16"/>
  <c r="AH7" i="16"/>
  <c r="AE7" i="16"/>
  <c r="AB7" i="16"/>
  <c r="Y7" i="16"/>
  <c r="V7" i="16"/>
  <c r="S7" i="16"/>
  <c r="P7" i="16"/>
  <c r="M7" i="16"/>
  <c r="J7" i="16"/>
  <c r="G7" i="16"/>
  <c r="AZ6" i="16"/>
  <c r="AW6" i="16"/>
  <c r="AT6" i="16"/>
  <c r="AQ6" i="16"/>
  <c r="AQ4" i="16"/>
  <c r="AQ14" i="16"/>
  <c r="AN6" i="16"/>
  <c r="AK6" i="16"/>
  <c r="AH6" i="16"/>
  <c r="AE6" i="16"/>
  <c r="AB6" i="16"/>
  <c r="Y6" i="16"/>
  <c r="V6" i="16"/>
  <c r="S6" i="16"/>
  <c r="S4" i="16"/>
  <c r="S14" i="16"/>
  <c r="P6" i="16"/>
  <c r="M6" i="16"/>
  <c r="J6" i="16"/>
  <c r="G6" i="16"/>
  <c r="AZ4" i="16"/>
  <c r="AX4" i="16"/>
  <c r="AU4" i="16"/>
  <c r="AW4" i="16"/>
  <c r="AR4" i="16"/>
  <c r="AT4" i="16"/>
  <c r="AO4" i="16"/>
  <c r="AN4" i="16"/>
  <c r="AL4" i="16"/>
  <c r="AI4" i="16"/>
  <c r="AK4" i="16"/>
  <c r="AF4" i="16"/>
  <c r="AH4" i="16"/>
  <c r="AC4" i="16"/>
  <c r="AE4" i="16"/>
  <c r="AB4" i="16"/>
  <c r="Z4" i="16"/>
  <c r="W4" i="16"/>
  <c r="Y4" i="16"/>
  <c r="T4" i="16"/>
  <c r="V4" i="16"/>
  <c r="Q4" i="16"/>
  <c r="P4" i="16"/>
  <c r="N4" i="16"/>
  <c r="K4" i="16"/>
  <c r="M4" i="16"/>
  <c r="H4" i="16"/>
  <c r="J4" i="16"/>
  <c r="E4" i="16"/>
  <c r="G4" i="16"/>
  <c r="AX3" i="16"/>
  <c r="AU3" i="16"/>
  <c r="AR3" i="16"/>
  <c r="AO3" i="16"/>
  <c r="AL3" i="16"/>
  <c r="AI3" i="16"/>
  <c r="AF3" i="16"/>
  <c r="AC3" i="16"/>
  <c r="Z3" i="16"/>
  <c r="W3" i="16"/>
  <c r="T3" i="16"/>
  <c r="Q3" i="16"/>
  <c r="N3" i="16"/>
  <c r="K3" i="16"/>
  <c r="H3" i="16"/>
  <c r="E3" i="16"/>
  <c r="AZ13" i="15"/>
  <c r="AW13" i="15"/>
  <c r="AT13" i="15"/>
  <c r="AQ13" i="15"/>
  <c r="AN13" i="15"/>
  <c r="AK13" i="15"/>
  <c r="AH13" i="15"/>
  <c r="AE13" i="15"/>
  <c r="AB13" i="15"/>
  <c r="Y13" i="15"/>
  <c r="V13" i="15"/>
  <c r="S13" i="15"/>
  <c r="P13" i="15"/>
  <c r="M13" i="15"/>
  <c r="J13" i="15"/>
  <c r="G13" i="15"/>
  <c r="AZ12" i="15"/>
  <c r="AW12" i="15"/>
  <c r="AT12" i="15"/>
  <c r="AQ12" i="15"/>
  <c r="AN12" i="15"/>
  <c r="AK12" i="15"/>
  <c r="AH12" i="15"/>
  <c r="AE12" i="15"/>
  <c r="AB12" i="15"/>
  <c r="Y12" i="15"/>
  <c r="V12" i="15"/>
  <c r="S12" i="15"/>
  <c r="P12" i="15"/>
  <c r="M12" i="15"/>
  <c r="J12" i="15"/>
  <c r="G12" i="15"/>
  <c r="AZ11" i="15"/>
  <c r="AW11" i="15"/>
  <c r="AT11" i="15"/>
  <c r="AQ11" i="15"/>
  <c r="AN11" i="15"/>
  <c r="AK11" i="15"/>
  <c r="AH11" i="15"/>
  <c r="AE11" i="15"/>
  <c r="AB11" i="15"/>
  <c r="Y11" i="15"/>
  <c r="V11" i="15"/>
  <c r="S11" i="15"/>
  <c r="P11" i="15"/>
  <c r="M11" i="15"/>
  <c r="J11" i="15"/>
  <c r="G11" i="15"/>
  <c r="AZ10" i="15"/>
  <c r="AW10" i="15"/>
  <c r="AT10" i="15"/>
  <c r="AQ10" i="15"/>
  <c r="AN10" i="15"/>
  <c r="AK10" i="15"/>
  <c r="AH10" i="15"/>
  <c r="AE10" i="15"/>
  <c r="AB10" i="15"/>
  <c r="Y10" i="15"/>
  <c r="V10" i="15"/>
  <c r="S10" i="15"/>
  <c r="P10" i="15"/>
  <c r="M10" i="15"/>
  <c r="J10" i="15"/>
  <c r="G10" i="15"/>
  <c r="AZ9" i="15"/>
  <c r="AW9" i="15"/>
  <c r="AT9" i="15"/>
  <c r="AQ9" i="15"/>
  <c r="AN9" i="15"/>
  <c r="AK9" i="15"/>
  <c r="AH9" i="15"/>
  <c r="AE9" i="15"/>
  <c r="AB9" i="15"/>
  <c r="Y9" i="15"/>
  <c r="V9" i="15"/>
  <c r="S9" i="15"/>
  <c r="P9" i="15"/>
  <c r="M9" i="15"/>
  <c r="J9" i="15"/>
  <c r="G9" i="15"/>
  <c r="AZ8" i="15"/>
  <c r="AW8" i="15"/>
  <c r="AT8" i="15"/>
  <c r="AQ8" i="15"/>
  <c r="AN8" i="15"/>
  <c r="AK8" i="15"/>
  <c r="AH8" i="15"/>
  <c r="AE8" i="15"/>
  <c r="AB8" i="15"/>
  <c r="Y8" i="15"/>
  <c r="V8" i="15"/>
  <c r="S8" i="15"/>
  <c r="P8" i="15"/>
  <c r="M8" i="15"/>
  <c r="J8" i="15"/>
  <c r="G8" i="15"/>
  <c r="AZ7" i="15"/>
  <c r="AW7" i="15"/>
  <c r="AT7" i="15"/>
  <c r="AQ7" i="15"/>
  <c r="AN7" i="15"/>
  <c r="AK7" i="15"/>
  <c r="AH7" i="15"/>
  <c r="AE7" i="15"/>
  <c r="AB7" i="15"/>
  <c r="Y7" i="15"/>
  <c r="V7" i="15"/>
  <c r="S7" i="15"/>
  <c r="P7" i="15"/>
  <c r="M7" i="15"/>
  <c r="J7" i="15"/>
  <c r="G7" i="15"/>
  <c r="AZ6" i="15"/>
  <c r="AW6" i="15"/>
  <c r="AT6" i="15"/>
  <c r="AQ6" i="15"/>
  <c r="AN6" i="15"/>
  <c r="AK6" i="15"/>
  <c r="AH6" i="15"/>
  <c r="AE6" i="15"/>
  <c r="AB6" i="15"/>
  <c r="Y6" i="15"/>
  <c r="V6" i="15"/>
  <c r="S6" i="15"/>
  <c r="P6" i="15"/>
  <c r="M6" i="15"/>
  <c r="J6" i="15"/>
  <c r="G6" i="15"/>
  <c r="AZ4" i="15"/>
  <c r="AX4" i="15"/>
  <c r="AW4" i="15"/>
  <c r="AU4" i="15"/>
  <c r="AT4" i="15"/>
  <c r="AR4" i="15"/>
  <c r="AQ4" i="15"/>
  <c r="AO4" i="15"/>
  <c r="AN4" i="15"/>
  <c r="AL4" i="15"/>
  <c r="AK4" i="15"/>
  <c r="AI4" i="15"/>
  <c r="AH4" i="15"/>
  <c r="AF4" i="15"/>
  <c r="AE4" i="15"/>
  <c r="AC4" i="15"/>
  <c r="AB4" i="15"/>
  <c r="Z4" i="15"/>
  <c r="Y4" i="15"/>
  <c r="W4" i="15"/>
  <c r="V4" i="15"/>
  <c r="T4" i="15"/>
  <c r="S4" i="15"/>
  <c r="Q4" i="15"/>
  <c r="P4" i="15"/>
  <c r="N4" i="15"/>
  <c r="M4" i="15"/>
  <c r="K4" i="15"/>
  <c r="J4" i="15"/>
  <c r="H4" i="15"/>
  <c r="E4" i="15"/>
  <c r="G4" i="15"/>
  <c r="AX3" i="15"/>
  <c r="AU3" i="15"/>
  <c r="AR3" i="15"/>
  <c r="AO3" i="15"/>
  <c r="AL3" i="15"/>
  <c r="AI3" i="15"/>
  <c r="AF3" i="15"/>
  <c r="AC3" i="15"/>
  <c r="Z3" i="15"/>
  <c r="W3" i="15"/>
  <c r="T3" i="15"/>
  <c r="Q3" i="15"/>
  <c r="N3" i="15"/>
  <c r="K3" i="15"/>
  <c r="H3" i="15"/>
  <c r="E3" i="15"/>
  <c r="AZ4" i="4"/>
  <c r="AW4" i="4"/>
  <c r="AT4" i="4"/>
  <c r="AQ4" i="4"/>
  <c r="AN4" i="4"/>
  <c r="AK4" i="4"/>
  <c r="AH4" i="4"/>
  <c r="AE4" i="4"/>
  <c r="AB4" i="4"/>
  <c r="Y4" i="4"/>
  <c r="V4" i="4"/>
  <c r="S4" i="4"/>
  <c r="P4" i="4"/>
  <c r="M4" i="4"/>
  <c r="J4" i="4"/>
  <c r="AW4" i="14"/>
  <c r="AT4" i="14"/>
  <c r="AQ4" i="14"/>
  <c r="AN4" i="14"/>
  <c r="AK4" i="14"/>
  <c r="AH4" i="14"/>
  <c r="AE4" i="14"/>
  <c r="AB4" i="14"/>
  <c r="Y4" i="14"/>
  <c r="M4" i="14"/>
  <c r="V4" i="14"/>
  <c r="S4" i="14"/>
  <c r="P4" i="14"/>
  <c r="J4" i="14"/>
  <c r="G4" i="14"/>
  <c r="Y20" i="4"/>
  <c r="Y21" i="4"/>
  <c r="Y22" i="4"/>
  <c r="Y23" i="4"/>
  <c r="Y24" i="4"/>
  <c r="Y25" i="4"/>
  <c r="M29" i="14"/>
  <c r="P29" i="14"/>
  <c r="S29" i="14"/>
  <c r="V29" i="14"/>
  <c r="Y29" i="14"/>
  <c r="Y20" i="14"/>
  <c r="Y21" i="14"/>
  <c r="Y22" i="14"/>
  <c r="Y23" i="14"/>
  <c r="Y24" i="14"/>
  <c r="Y25" i="14"/>
  <c r="AB29" i="14"/>
  <c r="AE29" i="14"/>
  <c r="AH29" i="14"/>
  <c r="AK29" i="14"/>
  <c r="AN29" i="14"/>
  <c r="AQ29" i="14"/>
  <c r="AT29" i="14"/>
  <c r="AW29" i="14"/>
  <c r="AZ29" i="14"/>
  <c r="J29" i="14"/>
  <c r="G29" i="14"/>
  <c r="AZ30" i="14"/>
  <c r="AW30" i="14"/>
  <c r="AT30" i="14"/>
  <c r="AQ30" i="14"/>
  <c r="AN30" i="14"/>
  <c r="AK30" i="14"/>
  <c r="AH30" i="14"/>
  <c r="AE30" i="14"/>
  <c r="AB30" i="14"/>
  <c r="Y30" i="14"/>
  <c r="V30" i="14"/>
  <c r="S30" i="14"/>
  <c r="P30" i="14"/>
  <c r="M30" i="14"/>
  <c r="J30" i="14"/>
  <c r="G30" i="14"/>
  <c r="AZ28" i="14"/>
  <c r="AW28" i="14"/>
  <c r="AT28" i="14"/>
  <c r="AQ28" i="14"/>
  <c r="AN28" i="14"/>
  <c r="AK28" i="14"/>
  <c r="AH28" i="14"/>
  <c r="AE28" i="14"/>
  <c r="AB28" i="14"/>
  <c r="Y28" i="14"/>
  <c r="V28" i="14"/>
  <c r="S28" i="14"/>
  <c r="P28" i="14"/>
  <c r="M28" i="14"/>
  <c r="J28" i="14"/>
  <c r="G28" i="14"/>
  <c r="AZ27" i="14"/>
  <c r="AW27" i="14"/>
  <c r="AT27" i="14"/>
  <c r="AQ27" i="14"/>
  <c r="AN27" i="14"/>
  <c r="AK27" i="14"/>
  <c r="AH27" i="14"/>
  <c r="AE27" i="14"/>
  <c r="AB27" i="14"/>
  <c r="Y27" i="14"/>
  <c r="V27" i="14"/>
  <c r="S27" i="14"/>
  <c r="P27" i="14"/>
  <c r="M27" i="14"/>
  <c r="J27" i="14"/>
  <c r="G27" i="14"/>
  <c r="AZ26" i="14"/>
  <c r="AW26" i="14"/>
  <c r="AT26" i="14"/>
  <c r="AQ26" i="14"/>
  <c r="AN26" i="14"/>
  <c r="AK26" i="14"/>
  <c r="AH26" i="14"/>
  <c r="AE26" i="14"/>
  <c r="AB26" i="14"/>
  <c r="Y26" i="14"/>
  <c r="V26" i="14"/>
  <c r="S26" i="14"/>
  <c r="P26" i="14"/>
  <c r="M26" i="14"/>
  <c r="J26" i="14"/>
  <c r="G26" i="14"/>
  <c r="AZ25" i="14"/>
  <c r="AW25" i="14"/>
  <c r="AT25" i="14"/>
  <c r="AQ25" i="14"/>
  <c r="AN25" i="14"/>
  <c r="AK25" i="14"/>
  <c r="AH25" i="14"/>
  <c r="AE25" i="14"/>
  <c r="AB25" i="14"/>
  <c r="V25" i="14"/>
  <c r="S25" i="14"/>
  <c r="P25" i="14"/>
  <c r="M25" i="14"/>
  <c r="J25" i="14"/>
  <c r="G25" i="14"/>
  <c r="AZ24" i="14"/>
  <c r="AW24" i="14"/>
  <c r="AT24" i="14"/>
  <c r="AQ24" i="14"/>
  <c r="AN24" i="14"/>
  <c r="AK24" i="14"/>
  <c r="AH24" i="14"/>
  <c r="AE24" i="14"/>
  <c r="AB24" i="14"/>
  <c r="V24" i="14"/>
  <c r="S24" i="14"/>
  <c r="P24" i="14"/>
  <c r="M24" i="14"/>
  <c r="J24" i="14"/>
  <c r="G24" i="14"/>
  <c r="AZ23" i="14"/>
  <c r="AW23" i="14"/>
  <c r="AT23" i="14"/>
  <c r="AQ23" i="14"/>
  <c r="AN23" i="14"/>
  <c r="AK23" i="14"/>
  <c r="AH23" i="14"/>
  <c r="AE23" i="14"/>
  <c r="AB23" i="14"/>
  <c r="V23" i="14"/>
  <c r="S23" i="14"/>
  <c r="P23" i="14"/>
  <c r="M23" i="14"/>
  <c r="J23" i="14"/>
  <c r="G23" i="14"/>
  <c r="AZ22" i="14"/>
  <c r="AW22" i="14"/>
  <c r="AT22" i="14"/>
  <c r="AQ22" i="14"/>
  <c r="AN22" i="14"/>
  <c r="AK22" i="14"/>
  <c r="AH22" i="14"/>
  <c r="AE22" i="14"/>
  <c r="AB22" i="14"/>
  <c r="V22" i="14"/>
  <c r="S22" i="14"/>
  <c r="P22" i="14"/>
  <c r="M22" i="14"/>
  <c r="J22" i="14"/>
  <c r="G22" i="14"/>
  <c r="AZ21" i="14"/>
  <c r="AW21" i="14"/>
  <c r="AT21" i="14"/>
  <c r="AQ21" i="14"/>
  <c r="AN21" i="14"/>
  <c r="AK21" i="14"/>
  <c r="AH21" i="14"/>
  <c r="AE21" i="14"/>
  <c r="AB21" i="14"/>
  <c r="V21" i="14"/>
  <c r="S21" i="14"/>
  <c r="P21" i="14"/>
  <c r="M21" i="14"/>
  <c r="J21" i="14"/>
  <c r="G21" i="14"/>
  <c r="AZ20" i="14"/>
  <c r="AW20" i="14"/>
  <c r="AT20" i="14"/>
  <c r="AQ20" i="14"/>
  <c r="AN20" i="14"/>
  <c r="AK20" i="14"/>
  <c r="AH20" i="14"/>
  <c r="AE20" i="14"/>
  <c r="AB20" i="14"/>
  <c r="V20" i="14"/>
  <c r="S20" i="14"/>
  <c r="P20" i="14"/>
  <c r="M20" i="14"/>
  <c r="J20" i="14"/>
  <c r="G20" i="14"/>
  <c r="AZ19" i="14"/>
  <c r="AW19" i="14"/>
  <c r="AT19" i="14"/>
  <c r="AQ19" i="14"/>
  <c r="AN19" i="14"/>
  <c r="AK19" i="14"/>
  <c r="AH19" i="14"/>
  <c r="AE19" i="14"/>
  <c r="AB19" i="14"/>
  <c r="Y19" i="14"/>
  <c r="V19" i="14"/>
  <c r="S19" i="14"/>
  <c r="P19" i="14"/>
  <c r="M19" i="14"/>
  <c r="J19" i="14"/>
  <c r="G19" i="14"/>
  <c r="AZ18" i="14"/>
  <c r="AW18" i="14"/>
  <c r="AT18" i="14"/>
  <c r="AQ18" i="14"/>
  <c r="AN18" i="14"/>
  <c r="AK18" i="14"/>
  <c r="AH18" i="14"/>
  <c r="AE18" i="14"/>
  <c r="AB18" i="14"/>
  <c r="Y18" i="14"/>
  <c r="V18" i="14"/>
  <c r="S18" i="14"/>
  <c r="P18" i="14"/>
  <c r="M18" i="14"/>
  <c r="J18" i="14"/>
  <c r="G18" i="14"/>
  <c r="AZ17" i="14"/>
  <c r="AW17" i="14"/>
  <c r="AT17" i="14"/>
  <c r="AQ17" i="14"/>
  <c r="AN17" i="14"/>
  <c r="AK17" i="14"/>
  <c r="AH17" i="14"/>
  <c r="AE17" i="14"/>
  <c r="AB17" i="14"/>
  <c r="Y17" i="14"/>
  <c r="V17" i="14"/>
  <c r="S17" i="14"/>
  <c r="P17" i="14"/>
  <c r="M17" i="14"/>
  <c r="J17" i="14"/>
  <c r="G17" i="14"/>
  <c r="AZ16" i="14"/>
  <c r="AW16" i="14"/>
  <c r="AT16" i="14"/>
  <c r="AQ16" i="14"/>
  <c r="AN16" i="14"/>
  <c r="AK16" i="14"/>
  <c r="AH16" i="14"/>
  <c r="AE16" i="14"/>
  <c r="AB16" i="14"/>
  <c r="Y16" i="14"/>
  <c r="V16" i="14"/>
  <c r="S16" i="14"/>
  <c r="P16" i="14"/>
  <c r="M16" i="14"/>
  <c r="J16" i="14"/>
  <c r="G16" i="14"/>
  <c r="AZ15" i="14"/>
  <c r="AW15" i="14"/>
  <c r="AT15" i="14"/>
  <c r="AQ15" i="14"/>
  <c r="AN15" i="14"/>
  <c r="AK15" i="14"/>
  <c r="AH15" i="14"/>
  <c r="AE15" i="14"/>
  <c r="AB15" i="14"/>
  <c r="Y15" i="14"/>
  <c r="V15" i="14"/>
  <c r="S15" i="14"/>
  <c r="P15" i="14"/>
  <c r="M15" i="14"/>
  <c r="J15" i="14"/>
  <c r="G15" i="14"/>
  <c r="AZ14" i="14"/>
  <c r="AW14" i="14"/>
  <c r="AT14" i="14"/>
  <c r="AQ14" i="14"/>
  <c r="AN14" i="14"/>
  <c r="AK14" i="14"/>
  <c r="AH14" i="14"/>
  <c r="AE14" i="14"/>
  <c r="AB14" i="14"/>
  <c r="Y14" i="14"/>
  <c r="V14" i="14"/>
  <c r="S14" i="14"/>
  <c r="P14" i="14"/>
  <c r="M14" i="14"/>
  <c r="J14" i="14"/>
  <c r="G14" i="14"/>
  <c r="AZ13" i="14"/>
  <c r="AW13" i="14"/>
  <c r="AT13" i="14"/>
  <c r="AQ13" i="14"/>
  <c r="AN13" i="14"/>
  <c r="AK13" i="14"/>
  <c r="AH13" i="14"/>
  <c r="AE13" i="14"/>
  <c r="AB13" i="14"/>
  <c r="Y13" i="14"/>
  <c r="V13" i="14"/>
  <c r="S13" i="14"/>
  <c r="P13" i="14"/>
  <c r="M13" i="14"/>
  <c r="J13" i="14"/>
  <c r="G13" i="14"/>
  <c r="AZ12" i="14"/>
  <c r="AW12" i="14"/>
  <c r="AT12" i="14"/>
  <c r="AQ12" i="14"/>
  <c r="AN12" i="14"/>
  <c r="AK12" i="14"/>
  <c r="AH12" i="14"/>
  <c r="AE12" i="14"/>
  <c r="AB12" i="14"/>
  <c r="Y12" i="14"/>
  <c r="V12" i="14"/>
  <c r="S12" i="14"/>
  <c r="P12" i="14"/>
  <c r="M12" i="14"/>
  <c r="J12" i="14"/>
  <c r="G12" i="14"/>
  <c r="AZ11" i="14"/>
  <c r="AW11" i="14"/>
  <c r="AT11" i="14"/>
  <c r="AQ11" i="14"/>
  <c r="AN11" i="14"/>
  <c r="AK11" i="14"/>
  <c r="AH11" i="14"/>
  <c r="AE11" i="14"/>
  <c r="AB11" i="14"/>
  <c r="Y11" i="14"/>
  <c r="V11" i="14"/>
  <c r="S11" i="14"/>
  <c r="P11" i="14"/>
  <c r="M11" i="14"/>
  <c r="J11" i="14"/>
  <c r="G11" i="14"/>
  <c r="AZ10" i="14"/>
  <c r="AW10" i="14"/>
  <c r="AT10" i="14"/>
  <c r="AQ10" i="14"/>
  <c r="AN10" i="14"/>
  <c r="AK10" i="14"/>
  <c r="AH10" i="14"/>
  <c r="AE10" i="14"/>
  <c r="AB10" i="14"/>
  <c r="Y10" i="14"/>
  <c r="V10" i="14"/>
  <c r="S10" i="14"/>
  <c r="P10" i="14"/>
  <c r="M10" i="14"/>
  <c r="J10" i="14"/>
  <c r="G10" i="14"/>
  <c r="AZ9" i="14"/>
  <c r="AW9" i="14"/>
  <c r="AT9" i="14"/>
  <c r="AQ9" i="14"/>
  <c r="AN9" i="14"/>
  <c r="AK9" i="14"/>
  <c r="AH9" i="14"/>
  <c r="AE9" i="14"/>
  <c r="AB9" i="14"/>
  <c r="Y9" i="14"/>
  <c r="V9" i="14"/>
  <c r="S9" i="14"/>
  <c r="P9" i="14"/>
  <c r="M9" i="14"/>
  <c r="J9" i="14"/>
  <c r="G9" i="14"/>
  <c r="AZ8" i="14"/>
  <c r="AW8" i="14"/>
  <c r="AT8" i="14"/>
  <c r="AQ8" i="14"/>
  <c r="AN8" i="14"/>
  <c r="AK8" i="14"/>
  <c r="AH8" i="14"/>
  <c r="AE8" i="14"/>
  <c r="AB8" i="14"/>
  <c r="Y8" i="14"/>
  <c r="V8" i="14"/>
  <c r="S8" i="14"/>
  <c r="P8" i="14"/>
  <c r="M8" i="14"/>
  <c r="J8" i="14"/>
  <c r="G8" i="14"/>
  <c r="AZ7" i="14"/>
  <c r="AW7" i="14"/>
  <c r="AT7" i="14"/>
  <c r="AQ7" i="14"/>
  <c r="AN7" i="14"/>
  <c r="AK7" i="14"/>
  <c r="AH7" i="14"/>
  <c r="AE7" i="14"/>
  <c r="AB7" i="14"/>
  <c r="Y7" i="14"/>
  <c r="V7" i="14"/>
  <c r="S7" i="14"/>
  <c r="P7" i="14"/>
  <c r="M7" i="14"/>
  <c r="J7" i="14"/>
  <c r="G7" i="14"/>
  <c r="AW6" i="14"/>
  <c r="AT6" i="14"/>
  <c r="AQ6" i="14"/>
  <c r="AN6" i="14"/>
  <c r="AK6" i="14"/>
  <c r="AH6" i="14"/>
  <c r="AE6" i="14"/>
  <c r="AB6" i="14"/>
  <c r="Y6" i="14"/>
  <c r="V6" i="14"/>
  <c r="S6" i="14"/>
  <c r="P6" i="14"/>
  <c r="M6" i="14"/>
  <c r="J6" i="14"/>
  <c r="G6" i="14"/>
  <c r="AX4" i="14"/>
  <c r="AZ4" i="14"/>
  <c r="AU4" i="14"/>
  <c r="AR4" i="14"/>
  <c r="AO4" i="14"/>
  <c r="AL4" i="14"/>
  <c r="AI4" i="14"/>
  <c r="AF4" i="14"/>
  <c r="AC4" i="14"/>
  <c r="Z4" i="14"/>
  <c r="W4" i="14"/>
  <c r="T4" i="14"/>
  <c r="Q4" i="14"/>
  <c r="N4" i="14"/>
  <c r="K4" i="14"/>
  <c r="H4" i="14"/>
  <c r="E4" i="14"/>
  <c r="AX3" i="14"/>
  <c r="AU3" i="14"/>
  <c r="AR3" i="14"/>
  <c r="AO3" i="14"/>
  <c r="AL3" i="14"/>
  <c r="AI3" i="14"/>
  <c r="AF3" i="14"/>
  <c r="AC3" i="14"/>
  <c r="Z3" i="14"/>
  <c r="W3" i="14"/>
  <c r="T3" i="14"/>
  <c r="Q3" i="14"/>
  <c r="N3" i="14"/>
  <c r="K3" i="14"/>
  <c r="H3" i="14"/>
  <c r="E3" i="14"/>
  <c r="AZ7" i="4"/>
  <c r="AZ8" i="4"/>
  <c r="AZ9" i="4"/>
  <c r="AZ10" i="4"/>
  <c r="AZ11" i="4"/>
  <c r="AZ12" i="4"/>
  <c r="AZ13" i="4"/>
  <c r="AZ14" i="4"/>
  <c r="AZ15" i="4"/>
  <c r="AZ16" i="4"/>
  <c r="AZ17" i="4"/>
  <c r="AZ18" i="4"/>
  <c r="AZ19" i="4"/>
  <c r="AZ20" i="4"/>
  <c r="AZ21" i="4"/>
  <c r="AZ22" i="4"/>
  <c r="AZ23" i="4"/>
  <c r="AZ24" i="4"/>
  <c r="AZ25" i="4"/>
  <c r="AZ26" i="4"/>
  <c r="AZ27" i="4"/>
  <c r="AZ28" i="4"/>
  <c r="AZ29" i="4"/>
  <c r="AZ6" i="4"/>
  <c r="AX3" i="4"/>
  <c r="AU3" i="4"/>
  <c r="AR3" i="4"/>
  <c r="AO3" i="4"/>
  <c r="AL3" i="4"/>
  <c r="AI3" i="4"/>
  <c r="AF3" i="4"/>
  <c r="AC3" i="4"/>
  <c r="Z3" i="4"/>
  <c r="T3" i="4"/>
  <c r="Q3" i="4"/>
  <c r="N3" i="4"/>
  <c r="K3" i="4"/>
  <c r="H3" i="4"/>
  <c r="AE7" i="4"/>
  <c r="AE8" i="4"/>
  <c r="AE9" i="4"/>
  <c r="AE10" i="4"/>
  <c r="AE11" i="4"/>
  <c r="AE12" i="4"/>
  <c r="AE13" i="4"/>
  <c r="AE14" i="4"/>
  <c r="AE15" i="4"/>
  <c r="AE16" i="4"/>
  <c r="AE17" i="4"/>
  <c r="AE18" i="4"/>
  <c r="AE19" i="4"/>
  <c r="AE20" i="4"/>
  <c r="AE21" i="4"/>
  <c r="AE22" i="4"/>
  <c r="AE23" i="4"/>
  <c r="AE24" i="4"/>
  <c r="AE25" i="4"/>
  <c r="AE26" i="4"/>
  <c r="AE27" i="4"/>
  <c r="AE28" i="4"/>
  <c r="AE29" i="4"/>
  <c r="AE6" i="4"/>
  <c r="E3" i="4"/>
  <c r="AK14" i="16"/>
  <c r="P14" i="16"/>
  <c r="AN14" i="16"/>
  <c r="Y14" i="16"/>
  <c r="AW14" i="16"/>
  <c r="AB14" i="16"/>
  <c r="AZ14" i="16"/>
  <c r="G14" i="16"/>
  <c r="AE14" i="16"/>
  <c r="J14" i="16"/>
  <c r="AH14" i="16"/>
  <c r="M14" i="16"/>
  <c r="V14" i="16"/>
  <c r="AT14" i="16"/>
  <c r="P14" i="15"/>
  <c r="M14" i="15"/>
  <c r="AK14" i="15"/>
  <c r="AN14" i="15"/>
  <c r="AE14" i="15"/>
  <c r="G14" i="15"/>
  <c r="Y14" i="15"/>
  <c r="AW14" i="15"/>
  <c r="J14" i="15"/>
  <c r="AH14" i="15"/>
  <c r="S14" i="15"/>
  <c r="AQ14" i="15"/>
  <c r="V14" i="15"/>
  <c r="AT14" i="15"/>
  <c r="AB14" i="15"/>
  <c r="AZ14" i="15"/>
  <c r="G31" i="14"/>
  <c r="J31" i="14"/>
  <c r="M31" i="14"/>
  <c r="AK31" i="14"/>
  <c r="S31" i="14"/>
  <c r="V31" i="14"/>
  <c r="AT31" i="14"/>
  <c r="AQ31" i="14"/>
  <c r="AW31" i="14"/>
  <c r="AN31" i="14"/>
  <c r="AB31" i="14"/>
  <c r="AZ31" i="14"/>
  <c r="P31" i="14"/>
  <c r="AH31" i="14"/>
  <c r="AE31" i="14"/>
  <c r="Y31" i="14"/>
  <c r="AU4" i="4"/>
  <c r="AR4" i="4"/>
  <c r="AO4" i="4"/>
  <c r="AL4" i="4"/>
  <c r="AI4" i="4"/>
  <c r="AF4" i="4"/>
  <c r="Z4" i="4"/>
  <c r="T4" i="4"/>
  <c r="Q4" i="4"/>
  <c r="N4" i="4"/>
  <c r="K4" i="4"/>
  <c r="H4" i="4"/>
  <c r="E4" i="4"/>
  <c r="G4" i="4"/>
  <c r="AW20" i="4"/>
  <c r="AW21" i="4"/>
  <c r="AW22" i="4"/>
  <c r="AW23" i="4"/>
  <c r="AW24" i="4"/>
  <c r="AW25" i="4"/>
  <c r="AT20" i="4"/>
  <c r="AT21" i="4"/>
  <c r="AT22" i="4"/>
  <c r="AT23" i="4"/>
  <c r="AT24" i="4"/>
  <c r="AT25" i="4"/>
  <c r="AQ20" i="4"/>
  <c r="AQ21" i="4"/>
  <c r="AQ22" i="4"/>
  <c r="AQ23" i="4"/>
  <c r="AQ24" i="4"/>
  <c r="AQ25" i="4"/>
  <c r="AN20" i="4"/>
  <c r="AN21" i="4"/>
  <c r="AN22" i="4"/>
  <c r="AN23" i="4"/>
  <c r="AN24" i="4"/>
  <c r="AN25" i="4"/>
  <c r="AK20" i="4"/>
  <c r="AK21" i="4"/>
  <c r="AK22" i="4"/>
  <c r="AK23" i="4"/>
  <c r="AK24" i="4"/>
  <c r="AK25" i="4"/>
  <c r="AH20" i="4"/>
  <c r="AH21" i="4"/>
  <c r="AH22" i="4"/>
  <c r="AH23" i="4"/>
  <c r="AH24" i="4"/>
  <c r="AH25" i="4"/>
  <c r="AB20" i="4"/>
  <c r="AB21" i="4"/>
  <c r="AB22" i="4"/>
  <c r="AB23" i="4"/>
  <c r="AB24" i="4"/>
  <c r="AB25" i="4"/>
  <c r="V20" i="4"/>
  <c r="V21" i="4"/>
  <c r="V22" i="4"/>
  <c r="V23" i="4"/>
  <c r="V24" i="4"/>
  <c r="V25" i="4"/>
  <c r="S20" i="4"/>
  <c r="S21" i="4"/>
  <c r="S22" i="4"/>
  <c r="S23" i="4"/>
  <c r="S24" i="4"/>
  <c r="S25" i="4"/>
  <c r="P20" i="4"/>
  <c r="P21" i="4"/>
  <c r="P22" i="4"/>
  <c r="P23" i="4"/>
  <c r="P24" i="4"/>
  <c r="P25" i="4"/>
  <c r="M20" i="4"/>
  <c r="M21" i="4"/>
  <c r="M22" i="4"/>
  <c r="M23" i="4"/>
  <c r="M24" i="4"/>
  <c r="M25" i="4"/>
  <c r="J20" i="4"/>
  <c r="J21" i="4"/>
  <c r="J22" i="4"/>
  <c r="J23" i="4"/>
  <c r="J24" i="4"/>
  <c r="J25" i="4"/>
  <c r="G20" i="4"/>
  <c r="G21" i="4"/>
  <c r="G22" i="4"/>
  <c r="G23" i="4"/>
  <c r="G24" i="4"/>
  <c r="G25" i="4"/>
  <c r="B19" i="3"/>
  <c r="B20" i="3"/>
  <c r="B21" i="3"/>
  <c r="B22" i="3"/>
  <c r="B23" i="3"/>
  <c r="B6" i="3"/>
  <c r="B7" i="3"/>
  <c r="B8" i="3"/>
  <c r="B9" i="3"/>
  <c r="B10" i="3"/>
  <c r="B11" i="3"/>
  <c r="B12" i="3"/>
  <c r="B13" i="3"/>
  <c r="B14" i="3"/>
  <c r="B15" i="3"/>
  <c r="B16" i="3"/>
  <c r="B17" i="3"/>
  <c r="B18" i="3"/>
  <c r="F22" i="1"/>
  <c r="J2" i="1"/>
  <c r="J3" i="1"/>
  <c r="J4" i="1"/>
  <c r="J5" i="1"/>
  <c r="B5" i="3"/>
  <c r="B4" i="3"/>
  <c r="AK6" i="4"/>
  <c r="AK7" i="4"/>
  <c r="AK8" i="4"/>
  <c r="AK9" i="4"/>
  <c r="AK10" i="4"/>
  <c r="AK11" i="4"/>
  <c r="AK12" i="4"/>
  <c r="AK13" i="4"/>
  <c r="AK14" i="4"/>
  <c r="AK15" i="4"/>
  <c r="AK16" i="4"/>
  <c r="AK17" i="4"/>
  <c r="AK18" i="4"/>
  <c r="AK19" i="4"/>
  <c r="AK26" i="4"/>
  <c r="AK27" i="4"/>
  <c r="AK28" i="4"/>
  <c r="AK29" i="4"/>
  <c r="V10" i="4"/>
  <c r="V11" i="4"/>
  <c r="V12" i="4"/>
  <c r="V13" i="4"/>
  <c r="V6" i="4"/>
  <c r="V7" i="4"/>
  <c r="V8" i="4"/>
  <c r="V9" i="4"/>
  <c r="V14" i="4"/>
  <c r="V15" i="4"/>
  <c r="V16" i="4"/>
  <c r="V17" i="4"/>
  <c r="V18" i="4"/>
  <c r="V19" i="4"/>
  <c r="V26" i="4"/>
  <c r="V27" i="4"/>
  <c r="V28" i="4"/>
  <c r="V29" i="4"/>
  <c r="P10" i="4"/>
  <c r="P11" i="4"/>
  <c r="P12" i="4"/>
  <c r="P13" i="4"/>
  <c r="P6" i="4"/>
  <c r="P7" i="4"/>
  <c r="P8" i="4"/>
  <c r="P9" i="4"/>
  <c r="P14" i="4"/>
  <c r="P15" i="4"/>
  <c r="P16" i="4"/>
  <c r="P17" i="4"/>
  <c r="P18" i="4"/>
  <c r="P19" i="4"/>
  <c r="P26" i="4"/>
  <c r="P27" i="4"/>
  <c r="P28" i="4"/>
  <c r="P29" i="4"/>
  <c r="M10" i="4"/>
  <c r="M11" i="4"/>
  <c r="M12" i="4"/>
  <c r="M13" i="4"/>
  <c r="M6" i="4"/>
  <c r="M7" i="4"/>
  <c r="M8" i="4"/>
  <c r="M9" i="4"/>
  <c r="M14" i="4"/>
  <c r="M15" i="4"/>
  <c r="M16" i="4"/>
  <c r="M17" i="4"/>
  <c r="M18" i="4"/>
  <c r="M19" i="4"/>
  <c r="M26" i="4"/>
  <c r="M27" i="4"/>
  <c r="M28" i="4"/>
  <c r="M29" i="4"/>
  <c r="G10" i="4"/>
  <c r="G11" i="4"/>
  <c r="G12" i="4"/>
  <c r="G13" i="4"/>
  <c r="G6" i="4"/>
  <c r="G7" i="4"/>
  <c r="G8" i="4"/>
  <c r="G9" i="4"/>
  <c r="G14" i="4"/>
  <c r="G15" i="4"/>
  <c r="G16" i="4"/>
  <c r="G17" i="4"/>
  <c r="G18" i="4"/>
  <c r="G19" i="4"/>
  <c r="G26" i="4"/>
  <c r="G27" i="4"/>
  <c r="G28" i="4"/>
  <c r="G29" i="4"/>
  <c r="AW10" i="4"/>
  <c r="AW11" i="4"/>
  <c r="AW12" i="4"/>
  <c r="AW13" i="4"/>
  <c r="AW6" i="4"/>
  <c r="AW7" i="4"/>
  <c r="AW8" i="4"/>
  <c r="AW9" i="4"/>
  <c r="AW14" i="4"/>
  <c r="AW15" i="4"/>
  <c r="AW16" i="4"/>
  <c r="AW17" i="4"/>
  <c r="AW18" i="4"/>
  <c r="AW19" i="4"/>
  <c r="AW26" i="4"/>
  <c r="AW27" i="4"/>
  <c r="AW28" i="4"/>
  <c r="AW29" i="4"/>
  <c r="AN10" i="4"/>
  <c r="AN11" i="4"/>
  <c r="AN12" i="4"/>
  <c r="AN13" i="4"/>
  <c r="AN6" i="4"/>
  <c r="AN7" i="4"/>
  <c r="AN8" i="4"/>
  <c r="AN9" i="4"/>
  <c r="AN14" i="4"/>
  <c r="AN15" i="4"/>
  <c r="AN16" i="4"/>
  <c r="AN17" i="4"/>
  <c r="AN18" i="4"/>
  <c r="AN19" i="4"/>
  <c r="AN26" i="4"/>
  <c r="AN27" i="4"/>
  <c r="AN28" i="4"/>
  <c r="AN29" i="4"/>
  <c r="AH10" i="4"/>
  <c r="AH11" i="4"/>
  <c r="AH12" i="4"/>
  <c r="AH13" i="4"/>
  <c r="AH6" i="4"/>
  <c r="AH7" i="4"/>
  <c r="AH8" i="4"/>
  <c r="AH9" i="4"/>
  <c r="AH14" i="4"/>
  <c r="AH15" i="4"/>
  <c r="AH16" i="4"/>
  <c r="AH17" i="4"/>
  <c r="AH18" i="4"/>
  <c r="AH19" i="4"/>
  <c r="AH26" i="4"/>
  <c r="AH27" i="4"/>
  <c r="AH28" i="4"/>
  <c r="AH29" i="4"/>
  <c r="AB10" i="4"/>
  <c r="AB6" i="4"/>
  <c r="AB7" i="4"/>
  <c r="AB8" i="4"/>
  <c r="AB9" i="4"/>
  <c r="AB11" i="4"/>
  <c r="AB12" i="4"/>
  <c r="AB13" i="4"/>
  <c r="AB14" i="4"/>
  <c r="AB15" i="4"/>
  <c r="AB16" i="4"/>
  <c r="AB17" i="4"/>
  <c r="AB18" i="4"/>
  <c r="AB19" i="4"/>
  <c r="AB26" i="4"/>
  <c r="AB27" i="4"/>
  <c r="AB28" i="4"/>
  <c r="AB29" i="4"/>
  <c r="J10" i="4"/>
  <c r="J11" i="4"/>
  <c r="J12" i="4"/>
  <c r="J13" i="4"/>
  <c r="J6" i="4"/>
  <c r="J7" i="4"/>
  <c r="J8" i="4"/>
  <c r="J9" i="4"/>
  <c r="J14" i="4"/>
  <c r="J15" i="4"/>
  <c r="J16" i="4"/>
  <c r="J17" i="4"/>
  <c r="J18" i="4"/>
  <c r="J19" i="4"/>
  <c r="J26" i="4"/>
  <c r="J27" i="4"/>
  <c r="J28" i="4"/>
  <c r="J29" i="4"/>
  <c r="AQ10" i="4"/>
  <c r="AQ11" i="4"/>
  <c r="AQ12" i="4"/>
  <c r="AQ13" i="4"/>
  <c r="AQ6" i="4"/>
  <c r="AQ7" i="4"/>
  <c r="AQ8" i="4"/>
  <c r="AQ9" i="4"/>
  <c r="AQ14" i="4"/>
  <c r="AQ15" i="4"/>
  <c r="AQ16" i="4"/>
  <c r="AQ17" i="4"/>
  <c r="AQ18" i="4"/>
  <c r="AQ19" i="4"/>
  <c r="AQ26" i="4"/>
  <c r="AQ27" i="4"/>
  <c r="AQ28" i="4"/>
  <c r="AQ29" i="4"/>
  <c r="AT10" i="4"/>
  <c r="AT11" i="4"/>
  <c r="AT12" i="4"/>
  <c r="AT13" i="4"/>
  <c r="AT6" i="4"/>
  <c r="AT7" i="4"/>
  <c r="AT8" i="4"/>
  <c r="AT9" i="4"/>
  <c r="AT14" i="4"/>
  <c r="AT15" i="4"/>
  <c r="AT16" i="4"/>
  <c r="AT17" i="4"/>
  <c r="AT18" i="4"/>
  <c r="AT19" i="4"/>
  <c r="AT26" i="4"/>
  <c r="AT27" i="4"/>
  <c r="AT28" i="4"/>
  <c r="AT29" i="4"/>
  <c r="Y10" i="4"/>
  <c r="W4" i="4"/>
  <c r="Y11" i="4"/>
  <c r="Y12" i="4"/>
  <c r="Y13" i="4"/>
  <c r="Y6" i="4"/>
  <c r="Y7" i="4"/>
  <c r="Y8" i="4"/>
  <c r="Y9" i="4"/>
  <c r="Y14" i="4"/>
  <c r="Y15" i="4"/>
  <c r="Y16" i="4"/>
  <c r="Y17" i="4"/>
  <c r="Y18" i="4"/>
  <c r="Y19" i="4"/>
  <c r="Y26" i="4"/>
  <c r="Y27" i="4"/>
  <c r="Y28" i="4"/>
  <c r="Y29" i="4"/>
  <c r="AC4" i="4"/>
  <c r="AX4" i="4"/>
  <c r="S10" i="4"/>
  <c r="S11" i="4"/>
  <c r="S12" i="4"/>
  <c r="S13" i="4"/>
  <c r="S6" i="4"/>
  <c r="S7" i="4"/>
  <c r="S8" i="4"/>
  <c r="S9" i="4"/>
  <c r="S14" i="4"/>
  <c r="S15" i="4"/>
  <c r="S16" i="4"/>
  <c r="S17" i="4"/>
  <c r="S18" i="4"/>
  <c r="S19" i="4"/>
  <c r="S26" i="4"/>
  <c r="S27" i="4"/>
  <c r="S28" i="4"/>
  <c r="S29" i="4"/>
  <c r="W3" i="4"/>
  <c r="G30" i="4"/>
  <c r="C4" i="3"/>
  <c r="J30" i="4"/>
  <c r="C5" i="3"/>
  <c r="AB30" i="4"/>
  <c r="AE30" i="4"/>
  <c r="C11" i="3"/>
  <c r="S30" i="4"/>
  <c r="C8" i="3"/>
  <c r="AH30" i="4"/>
  <c r="C12" i="3"/>
  <c r="AQ30" i="4"/>
  <c r="C15" i="3"/>
  <c r="AN30" i="4"/>
  <c r="C14" i="3"/>
  <c r="AW30" i="4"/>
  <c r="C17" i="3"/>
  <c r="M30" i="4"/>
  <c r="C6" i="3"/>
  <c r="AT30" i="4"/>
  <c r="C16" i="3"/>
  <c r="AZ30" i="4"/>
  <c r="C18" i="3"/>
  <c r="P30" i="4"/>
  <c r="C7" i="3"/>
  <c r="AK30" i="4"/>
  <c r="C13" i="3"/>
  <c r="V30" i="4"/>
  <c r="C9" i="3"/>
  <c r="Y30" i="4"/>
</calcChain>
</file>

<file path=xl/sharedStrings.xml><?xml version="1.0" encoding="utf-8"?>
<sst xmlns="http://schemas.openxmlformats.org/spreadsheetml/2006/main" count="416" uniqueCount="110">
  <si>
    <t>Rusia 2018</t>
  </si>
  <si>
    <t>Torneo entre amigos</t>
  </si>
  <si>
    <t>Participación en el torneo basado en las quinielas tradicionales</t>
  </si>
  <si>
    <t>Torneos:</t>
  </si>
  <si>
    <t>Todos los partidos de Rusia 2018 (hasta la final)</t>
  </si>
  <si>
    <t>Bases:</t>
  </si>
  <si>
    <t>Esta competencia toma como base las quinielas tracionales.
Consiste en lo siguiente:
1.- El participante debe pronosticar por cada partido el resultado que espera se dará en el mismo, indicando los goles anotados por los equipos.
2.- El torneo se dividirá en 4 semanas.
                  Sem 1 - 14 al 21 de junio. (23 partidos)
                  Sem 2 - 22 al 28 de junio. (25 partidos)
                  Sem 3 - 30 de junio al 3 de julio. (8 partidos)
                  Sem 4 - 6  al 15 de julio. (8 partidos)
3.- Por cada semana se jugarán tres puntos adicionales por lo que serán un total de 12 puntos, apoyando con esto a generar desempates.
4.- Existe tres ganadores de la bolsa 1°, 2° y 3° lugar; donde:
1° Se lleva el 70% de la bolsa
2° Se lleva el 20% de la bolsa
3° Se lleva el 10% de la bolsa
Por lo que los 3 participantes con mayor cantidad de puntos serán acreedores a los premios. En caso de empate se dividirá el premio en partes iguales bajo las condiciones que se marcan en la sección de "Los Ganadores".
5.- Participante que no suba sus pronósticos antes de iniciar la semana en turno (hay una fecha limite marcada para cada semana) contabilizará 0 puntos y no podrá cargar sus resultados una vez pasada la hora límite.
6.- Los resultados que se toman como oficiales son los goles dentro de los 120 min máximo de cada partido, es decir que el resultado del partido hasta el final de los tiempos extra es el oficial y por medio del cual se ganan los puntos. Los goles por la definición por penales (después de los 120 min.) NO CUENTAN, para ninguno de los puntos.</t>
  </si>
  <si>
    <t>Puntos: (¿Cómo se obtienen?)</t>
  </si>
  <si>
    <t xml:space="preserve">La obtención de los puntos es de la siguiente forma:
1.- Se obtendrá un punto por pronosticar correctamente al ganador o empate por cualquier resultado que se presente.
                 Ejemplo: España 2 - 1 Francia. En caso de ganar España por este u otro resultado se genera el punto.
2.- Se obtiene un segundo punto por cada partido, cuando se pronostique correctamente el resultado del mismo, es decir, siguiendo con el ejemplo anterior, en caso de la victoria española por 2 a 1 se generará el punto.
3.- El participante pronosticará la cantidad de goles que se anotarán por cada semana, de forma independiente a los indicados en los resultados pronosticados de los partidos o en su caso la plantilla sumará automáticamente la cantidad de goles que pronosticó. El participante decide si quedarse con la suma o cambiar por otra estimación escribiendolo sobre la celda de goles.
Si la cuota de goles oficiales efectivamente se cumple el participante genera 3 puntos por acertar los goles de la semana. </t>
  </si>
  <si>
    <t>Ganador:</t>
  </si>
  <si>
    <t>El partidipante con mayor número de puntos obtenidos se lleva el 1° lugar.
El participante que sigue al 1° lugar en mayor cantidad de puntos se lleva el 2° lugar.
El participante que sigue al 2° lugar en mayor cantidad de puntos se lleva el 3° lugar.
En caso de empates a 1° lugar: 
     Si son 2 persona empatadas, el premio de 1° y 2° se suman; el resultado se divide entre el número de participantes empatados por partes iguales. Ya no habría premio a segundo, solo al tercer lugar.
     Si son 3 o más personas empatadas, el premio de 1°, 2° y 3° se suman; el resultado se divide entre el número de participantes empatados por partes iguales. Ya no habría premio a segundo y tercer lugar.
En caso de empates a 2° lugar: 
     Si son 2 persona empatadas, el premio de 2° y 3° se suman; el resultado se divide entre el número de participantes empatados por partes iguales. Se entrega premio al 1° y no hay premio de 3° lugar.
     Si son 3 o más personas empatadas, el premio de 2° y 3° se suman; el resultado se divide entre el número de participantes empatados por partes iguales. Se entrega premio al 1° y no hay premio de 3° lugar.
En caso de empates a 3° lugar: 
     Se entrega premio al 1° y 2° lugar. El premio de 3° lugar se divide entre el número de participantes empatados por partes iguales.</t>
  </si>
  <si>
    <t>Costo:</t>
  </si>
  <si>
    <t>Cierre de incripción:</t>
  </si>
  <si>
    <t>Miercoles 13 de junio a las 6 pm.</t>
  </si>
  <si>
    <t>id</t>
  </si>
  <si>
    <t>Nombre</t>
  </si>
  <si>
    <t>Iniciales</t>
  </si>
  <si>
    <t>Lugar</t>
  </si>
  <si>
    <t>Pagado</t>
  </si>
  <si>
    <t>Premios</t>
  </si>
  <si>
    <t>%</t>
  </si>
  <si>
    <t>$</t>
  </si>
  <si>
    <t>Noemi Padilla</t>
  </si>
  <si>
    <t>NP</t>
  </si>
  <si>
    <t>INFOTEC CDMX</t>
  </si>
  <si>
    <t>1° Lugar</t>
  </si>
  <si>
    <t>Fabricio Ruíz</t>
  </si>
  <si>
    <t>FR</t>
  </si>
  <si>
    <t>INFOTEC AGS</t>
  </si>
  <si>
    <t>2° Lugar</t>
  </si>
  <si>
    <t>Adrian Molina</t>
  </si>
  <si>
    <t>AM</t>
  </si>
  <si>
    <t>3° Lugar</t>
  </si>
  <si>
    <t>Ezequiel Manzo</t>
  </si>
  <si>
    <t>EM</t>
  </si>
  <si>
    <t>EX INFOTEC AGS</t>
  </si>
  <si>
    <t>Suma:</t>
  </si>
  <si>
    <t>Ricardo Guerra</t>
  </si>
  <si>
    <t>RG</t>
  </si>
  <si>
    <t>Mario</t>
  </si>
  <si>
    <t>M</t>
  </si>
  <si>
    <t>Alejandro Cruz</t>
  </si>
  <si>
    <t>AC</t>
  </si>
  <si>
    <t>Antonio Lopez</t>
  </si>
  <si>
    <t>AL</t>
  </si>
  <si>
    <t>Christian</t>
  </si>
  <si>
    <t>C</t>
  </si>
  <si>
    <t>Kevin Salomón</t>
  </si>
  <si>
    <t>KS</t>
  </si>
  <si>
    <t>Emmanuel</t>
  </si>
  <si>
    <t>E</t>
  </si>
  <si>
    <t>Miguel Villafuerte</t>
  </si>
  <si>
    <t>MV</t>
  </si>
  <si>
    <t>David Perez</t>
  </si>
  <si>
    <t>DP</t>
  </si>
  <si>
    <t>-</t>
  </si>
  <si>
    <t>Bolsa:</t>
  </si>
  <si>
    <t>Tabla General</t>
  </si>
  <si>
    <t>Participante</t>
  </si>
  <si>
    <t>Puntos</t>
  </si>
  <si>
    <t>Partido</t>
  </si>
  <si>
    <t>Resultado</t>
  </si>
  <si>
    <t>Goles</t>
  </si>
  <si>
    <t xml:space="preserve">Primeros 23 partidos de la FASE DE GRUPOS del 14 al 21 de junio. Limite para subir tu pronóstico 13 de junio 6:00 PM </t>
  </si>
  <si>
    <t>ids</t>
  </si>
  <si>
    <t>Participantes</t>
  </si>
  <si>
    <t>Goles oficiales</t>
  </si>
  <si>
    <t>Goles de la semana</t>
  </si>
  <si>
    <t>Partidos</t>
  </si>
  <si>
    <t>Marcadores oficiales</t>
  </si>
  <si>
    <t>Predicción</t>
  </si>
  <si>
    <t>Rusia</t>
  </si>
  <si>
    <t>Arabia Saudí</t>
  </si>
  <si>
    <t>Egipto</t>
  </si>
  <si>
    <t>Uruguay</t>
  </si>
  <si>
    <t>Marruecos</t>
  </si>
  <si>
    <t>Rep. De Irán</t>
  </si>
  <si>
    <t>Portugal</t>
  </si>
  <si>
    <t>España</t>
  </si>
  <si>
    <t>Francia</t>
  </si>
  <si>
    <t>Australia</t>
  </si>
  <si>
    <t>Argentina</t>
  </si>
  <si>
    <t>Islandia</t>
  </si>
  <si>
    <t>Perú</t>
  </si>
  <si>
    <t>Dinamarca</t>
  </si>
  <si>
    <t>Croacia</t>
  </si>
  <si>
    <t>Nigeria</t>
  </si>
  <si>
    <t>Costa Rica</t>
  </si>
  <si>
    <t>Serbia</t>
  </si>
  <si>
    <t>Alemania</t>
  </si>
  <si>
    <t>México</t>
  </si>
  <si>
    <t>Brasil</t>
  </si>
  <si>
    <t>Suiza</t>
  </si>
  <si>
    <t>Suecia</t>
  </si>
  <si>
    <t>Rep.de Corea</t>
  </si>
  <si>
    <t>Belgica</t>
  </si>
  <si>
    <t>Panamá</t>
  </si>
  <si>
    <t>Tunez</t>
  </si>
  <si>
    <t>Inglaterra</t>
  </si>
  <si>
    <t>Colombia</t>
  </si>
  <si>
    <t>Japón</t>
  </si>
  <si>
    <t>Polonia</t>
  </si>
  <si>
    <t>Senegal</t>
  </si>
  <si>
    <t xml:space="preserve">Segundos 25 partidos de la FASE DE GRUPOS del 22 al 28 de junio. Limite para subir tu pronóstico 21 de junio 6:00 PM </t>
  </si>
  <si>
    <t>Túnez</t>
  </si>
  <si>
    <t>Rep. De Corea</t>
  </si>
  <si>
    <t>RI de Irán</t>
  </si>
  <si>
    <t>Bélgica</t>
  </si>
  <si>
    <t xml:space="preserve">OCTAVOS DE FINAL del 30 de junio al 3 de julio. Limite para subir tu pronóstico 29 de junio 6:00 PM </t>
  </si>
  <si>
    <t>CUTARTOS DE FINAL del 6  al 7 de julio. Limite para subir tu pronóstico 5 de julio 6:00 PM 
SEMIFINALES 10 y 11 de julio. Limite para subir tu pronóstico 9 de julio 6:00 PM
FINAL Y TERCER LUGAR 14 y 15 de julio. Limite para subir tu pronóstico 13 de julio 6:00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</si>
</sst>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_-[$$-80A]* #,##0.00_-;\-[$$-80A]* #,##0.00_-;_-[$$-80A]* &quot;-&quot;??_-;_-@_-"/>
  </numFmts>
  <fonts count="3">
    <font>
      <sz val="11"/>
      <color theme="1"/>
      <name val="Calibri"/>
      <family val="2"/>
      <scheme val="minor"/>
    </font>
    <font>
      <sz val="11"/>
      <color theme="1"/>
      <name val="Calibri"/>
      <family val="2"/>
      <scheme val="minor"/>
    </font>
    <font>
      <b/>
      <sz val="11"/>
      <color theme="1"/>
      <name val="Calibri"/>
      <family val="2"/>
      <scheme val="minor"/>
    </font>
  </fonts>
  <fills count="18">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64"/>
      </top>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s>
  <cellStyleXfs count="3">
    <xf numFmtId="0" fontId="0" fillId="0" borderId="0"/>
    <xf numFmtId="164" fontId="1" fillId="0" borderId="0" applyFont="0" applyFill="0" applyBorder="0" applyAlignment="0" applyProtection="0"/>
    <xf numFmtId="164" fontId="1" fillId="0" borderId="0" applyFont="0" applyFill="0" applyBorder="0" applyAlignment="0" applyProtection="0"/>
  </cellStyleXfs>
  <cellXfs count="170">
    <xf numFmtId="0" fontId="0" fillId="0" borderId="0" xfId="0"/>
    <xf numFmtId="0" fontId="0" fillId="0" borderId="0" xfId="0" applyFont="1" applyAlignment="1">
      <alignment horizontal="center" vertical="top"/>
    </xf>
    <xf numFmtId="0" fontId="0" fillId="0" borderId="1" xfId="0" applyBorder="1"/>
    <xf numFmtId="0" fontId="0" fillId="5" borderId="1" xfId="0" applyFill="1" applyBorder="1"/>
    <xf numFmtId="0" fontId="0" fillId="0" borderId="4" xfId="0" applyBorder="1"/>
    <xf numFmtId="0" fontId="0" fillId="0" borderId="7" xfId="0" applyBorder="1"/>
    <xf numFmtId="0" fontId="0" fillId="0" borderId="2" xfId="0" applyBorder="1"/>
    <xf numFmtId="0" fontId="0" fillId="0" borderId="14" xfId="0" applyBorder="1"/>
    <xf numFmtId="0" fontId="0" fillId="15" borderId="1" xfId="0" applyFill="1" applyBorder="1" applyAlignment="1"/>
    <xf numFmtId="165" fontId="0" fillId="0" borderId="0" xfId="0" applyNumberFormat="1"/>
    <xf numFmtId="0" fontId="0" fillId="0" borderId="4" xfId="0" applyBorder="1" applyProtection="1"/>
    <xf numFmtId="0" fontId="0" fillId="0" borderId="1" xfId="0" applyBorder="1" applyProtection="1"/>
    <xf numFmtId="0" fontId="0" fillId="12" borderId="1" xfId="0" applyFill="1" applyBorder="1" applyAlignment="1" applyProtection="1">
      <alignment horizontal="center"/>
    </xf>
    <xf numFmtId="0" fontId="0" fillId="6" borderId="1" xfId="0" applyFill="1" applyBorder="1" applyAlignment="1" applyProtection="1">
      <alignment horizontal="center"/>
    </xf>
    <xf numFmtId="0" fontId="0" fillId="8" borderId="1" xfId="0" applyFill="1" applyBorder="1" applyAlignment="1" applyProtection="1">
      <alignment horizontal="center"/>
    </xf>
    <xf numFmtId="0" fontId="0" fillId="11" borderId="1" xfId="0" applyFill="1" applyBorder="1" applyAlignment="1" applyProtection="1">
      <alignment horizontal="center"/>
    </xf>
    <xf numFmtId="0" fontId="0" fillId="10" borderId="1" xfId="0" applyFill="1" applyBorder="1" applyAlignment="1" applyProtection="1">
      <alignment horizontal="center"/>
    </xf>
    <xf numFmtId="0" fontId="0" fillId="13" borderId="1" xfId="0" applyFill="1" applyBorder="1" applyAlignment="1" applyProtection="1">
      <alignment horizontal="center"/>
    </xf>
    <xf numFmtId="0" fontId="0" fillId="4" borderId="1" xfId="0" applyFill="1" applyBorder="1" applyAlignment="1" applyProtection="1">
      <alignment horizontal="center"/>
    </xf>
    <xf numFmtId="0" fontId="0" fillId="14" borderId="1" xfId="0" applyFill="1" applyBorder="1" applyAlignment="1" applyProtection="1">
      <alignment horizontal="center"/>
    </xf>
    <xf numFmtId="0" fontId="0" fillId="3" borderId="1" xfId="0" applyFill="1" applyBorder="1" applyAlignment="1" applyProtection="1">
      <alignment horizontal="center"/>
    </xf>
    <xf numFmtId="0" fontId="0" fillId="2" borderId="1" xfId="0" applyFill="1" applyBorder="1" applyAlignment="1" applyProtection="1">
      <alignment horizontal="center"/>
    </xf>
    <xf numFmtId="0" fontId="0" fillId="16" borderId="1" xfId="0" applyFill="1" applyBorder="1" applyAlignment="1" applyProtection="1">
      <alignment horizontal="center"/>
    </xf>
    <xf numFmtId="0" fontId="0" fillId="5" borderId="1" xfId="0" applyFill="1" applyBorder="1" applyProtection="1"/>
    <xf numFmtId="0" fontId="0" fillId="7" borderId="4" xfId="0" applyFill="1" applyBorder="1" applyAlignment="1" applyProtection="1">
      <alignment horizontal="center"/>
    </xf>
    <xf numFmtId="0" fontId="0" fillId="15" borderId="7" xfId="0" applyFill="1" applyBorder="1" applyProtection="1"/>
    <xf numFmtId="0" fontId="0" fillId="12" borderId="7" xfId="0" applyFill="1" applyBorder="1" applyProtection="1"/>
    <xf numFmtId="0" fontId="0" fillId="6" borderId="7" xfId="0" applyFill="1" applyBorder="1" applyProtection="1"/>
    <xf numFmtId="0" fontId="0" fillId="8" borderId="7" xfId="0" applyFill="1" applyBorder="1" applyProtection="1"/>
    <xf numFmtId="0" fontId="0" fillId="11" borderId="7" xfId="0" applyFill="1" applyBorder="1" applyProtection="1"/>
    <xf numFmtId="0" fontId="0" fillId="10" borderId="7" xfId="0" applyFill="1" applyBorder="1" applyProtection="1"/>
    <xf numFmtId="0" fontId="0" fillId="13" borderId="7" xfId="0" applyFill="1" applyBorder="1" applyProtection="1"/>
    <xf numFmtId="0" fontId="0" fillId="4" borderId="7" xfId="0" applyFill="1" applyBorder="1" applyProtection="1"/>
    <xf numFmtId="0" fontId="0" fillId="14" borderId="7" xfId="0" applyFill="1" applyBorder="1" applyProtection="1"/>
    <xf numFmtId="0" fontId="0" fillId="3" borderId="7" xfId="0" applyFill="1" applyBorder="1" applyProtection="1"/>
    <xf numFmtId="0" fontId="0" fillId="5" borderId="7" xfId="0" applyFill="1" applyBorder="1" applyProtection="1"/>
    <xf numFmtId="0" fontId="0" fillId="2" borderId="7" xfId="0" applyFill="1" applyBorder="1" applyProtection="1"/>
    <xf numFmtId="0" fontId="0" fillId="16" borderId="7" xfId="0" applyFill="1" applyBorder="1" applyProtection="1"/>
    <xf numFmtId="0" fontId="0" fillId="15" borderId="1" xfId="0" applyFill="1" applyBorder="1" applyProtection="1"/>
    <xf numFmtId="0" fontId="0" fillId="7" borderId="1" xfId="0" applyFill="1" applyBorder="1" applyAlignment="1" applyProtection="1">
      <alignment horizontal="center" vertical="top"/>
    </xf>
    <xf numFmtId="0" fontId="0" fillId="0" borderId="12" xfId="0" applyBorder="1" applyAlignment="1" applyProtection="1">
      <alignment horizontal="center" vertical="top"/>
    </xf>
    <xf numFmtId="0" fontId="0" fillId="0" borderId="7" xfId="0" applyBorder="1" applyProtection="1"/>
    <xf numFmtId="0" fontId="0" fillId="0" borderId="3" xfId="0" applyBorder="1" applyProtection="1"/>
    <xf numFmtId="0" fontId="0" fillId="0" borderId="0" xfId="0" applyProtection="1"/>
    <xf numFmtId="0" fontId="2" fillId="0" borderId="0" xfId="0" applyFont="1"/>
    <xf numFmtId="0" fontId="2" fillId="0" borderId="0" xfId="0" applyFont="1" applyAlignment="1">
      <alignment horizontal="center"/>
    </xf>
    <xf numFmtId="0" fontId="0" fillId="15" borderId="6" xfId="0" applyFill="1" applyBorder="1" applyAlignment="1"/>
    <xf numFmtId="0" fontId="0" fillId="15" borderId="15" xfId="0" applyFill="1" applyBorder="1" applyAlignment="1"/>
    <xf numFmtId="0" fontId="0" fillId="15" borderId="4" xfId="0" applyFill="1" applyBorder="1" applyAlignment="1"/>
    <xf numFmtId="0" fontId="0" fillId="9" borderId="7" xfId="0" applyFill="1" applyBorder="1" applyProtection="1">
      <protection locked="0"/>
    </xf>
    <xf numFmtId="0" fontId="0" fillId="9" borderId="10" xfId="0" applyFill="1" applyBorder="1" applyProtection="1">
      <protection locked="0"/>
    </xf>
    <xf numFmtId="9" fontId="0" fillId="0" borderId="0" xfId="0" applyNumberFormat="1"/>
    <xf numFmtId="0" fontId="0" fillId="7" borderId="2" xfId="0" applyFill="1" applyBorder="1" applyAlignment="1" applyProtection="1"/>
    <xf numFmtId="0" fontId="0" fillId="7" borderId="13" xfId="0" applyFill="1" applyBorder="1" applyAlignment="1" applyProtection="1"/>
    <xf numFmtId="0" fontId="0" fillId="7" borderId="3" xfId="0" applyFill="1" applyBorder="1" applyAlignment="1" applyProtection="1"/>
    <xf numFmtId="0" fontId="0" fillId="12" borderId="2" xfId="0" applyFill="1" applyBorder="1" applyAlignment="1" applyProtection="1"/>
    <xf numFmtId="0" fontId="0" fillId="12" borderId="13" xfId="0" applyFill="1" applyBorder="1" applyAlignment="1" applyProtection="1"/>
    <xf numFmtId="0" fontId="0" fillId="12" borderId="3" xfId="0" applyFill="1" applyBorder="1" applyAlignment="1" applyProtection="1"/>
    <xf numFmtId="0" fontId="0" fillId="6" borderId="2" xfId="0" applyFill="1" applyBorder="1" applyAlignment="1" applyProtection="1"/>
    <xf numFmtId="0" fontId="0" fillId="6" borderId="13" xfId="0" applyFill="1" applyBorder="1" applyAlignment="1" applyProtection="1"/>
    <xf numFmtId="0" fontId="0" fillId="6" borderId="3" xfId="0" applyFill="1" applyBorder="1" applyAlignment="1" applyProtection="1"/>
    <xf numFmtId="0" fontId="0" fillId="8" borderId="2" xfId="0" applyFill="1" applyBorder="1" applyAlignment="1" applyProtection="1"/>
    <xf numFmtId="0" fontId="0" fillId="8" borderId="13" xfId="0" applyFill="1" applyBorder="1" applyAlignment="1" applyProtection="1"/>
    <xf numFmtId="0" fontId="0" fillId="8" borderId="3" xfId="0" applyFill="1" applyBorder="1" applyAlignment="1" applyProtection="1"/>
    <xf numFmtId="0" fontId="0" fillId="11" borderId="2" xfId="0" applyFill="1" applyBorder="1" applyAlignment="1" applyProtection="1"/>
    <xf numFmtId="0" fontId="0" fillId="11" borderId="13" xfId="0" applyFill="1" applyBorder="1" applyAlignment="1" applyProtection="1"/>
    <xf numFmtId="0" fontId="0" fillId="11" borderId="3" xfId="0" applyFill="1" applyBorder="1" applyAlignment="1" applyProtection="1"/>
    <xf numFmtId="0" fontId="0" fillId="10" borderId="2" xfId="0" applyFill="1" applyBorder="1" applyAlignment="1" applyProtection="1"/>
    <xf numFmtId="0" fontId="0" fillId="10" borderId="13" xfId="0" applyFill="1" applyBorder="1" applyAlignment="1" applyProtection="1"/>
    <xf numFmtId="0" fontId="0" fillId="10" borderId="3" xfId="0" applyFill="1" applyBorder="1" applyAlignment="1" applyProtection="1"/>
    <xf numFmtId="0" fontId="0" fillId="13" borderId="2" xfId="0" applyFill="1" applyBorder="1" applyAlignment="1" applyProtection="1"/>
    <xf numFmtId="0" fontId="0" fillId="13" borderId="13" xfId="0" applyFill="1" applyBorder="1" applyAlignment="1" applyProtection="1"/>
    <xf numFmtId="0" fontId="0" fillId="13" borderId="3" xfId="0" applyFill="1" applyBorder="1" applyAlignment="1" applyProtection="1"/>
    <xf numFmtId="0" fontId="0" fillId="4" borderId="2" xfId="0" applyFill="1" applyBorder="1" applyAlignment="1" applyProtection="1"/>
    <xf numFmtId="0" fontId="0" fillId="4" borderId="13" xfId="0" applyFill="1" applyBorder="1" applyAlignment="1" applyProtection="1"/>
    <xf numFmtId="0" fontId="0" fillId="4" borderId="3" xfId="0" applyFill="1" applyBorder="1" applyAlignment="1" applyProtection="1"/>
    <xf numFmtId="0" fontId="0" fillId="14" borderId="2" xfId="0" applyFill="1" applyBorder="1" applyAlignment="1" applyProtection="1"/>
    <xf numFmtId="0" fontId="0" fillId="14" borderId="13" xfId="0" applyFill="1" applyBorder="1" applyAlignment="1" applyProtection="1"/>
    <xf numFmtId="0" fontId="0" fillId="14" borderId="3" xfId="0" applyFill="1" applyBorder="1" applyAlignment="1" applyProtection="1"/>
    <xf numFmtId="0" fontId="0" fillId="3" borderId="2" xfId="0" applyFill="1" applyBorder="1" applyAlignment="1" applyProtection="1"/>
    <xf numFmtId="0" fontId="0" fillId="3" borderId="13" xfId="0" applyFill="1" applyBorder="1" applyAlignment="1" applyProtection="1"/>
    <xf numFmtId="0" fontId="0" fillId="3" borderId="3" xfId="0" applyFill="1" applyBorder="1" applyAlignment="1" applyProtection="1"/>
    <xf numFmtId="0" fontId="0" fillId="5" borderId="2" xfId="0" applyFill="1" applyBorder="1" applyAlignment="1" applyProtection="1"/>
    <xf numFmtId="0" fontId="0" fillId="5" borderId="13" xfId="0" applyFill="1" applyBorder="1" applyAlignment="1" applyProtection="1"/>
    <xf numFmtId="0" fontId="0" fillId="5" borderId="3" xfId="0" applyFill="1" applyBorder="1" applyAlignment="1" applyProtection="1"/>
    <xf numFmtId="0" fontId="0" fillId="2" borderId="2" xfId="0" applyFill="1" applyBorder="1" applyAlignment="1" applyProtection="1"/>
    <xf numFmtId="0" fontId="0" fillId="2" borderId="13" xfId="0" applyFill="1" applyBorder="1" applyAlignment="1" applyProtection="1"/>
    <xf numFmtId="0" fontId="0" fillId="2" borderId="3" xfId="0" applyFill="1" applyBorder="1" applyAlignment="1" applyProtection="1"/>
    <xf numFmtId="0" fontId="0" fillId="16" borderId="2" xfId="0" applyFill="1" applyBorder="1" applyAlignment="1" applyProtection="1"/>
    <xf numFmtId="0" fontId="0" fillId="16" borderId="13" xfId="0" applyFill="1" applyBorder="1" applyAlignment="1" applyProtection="1"/>
    <xf numFmtId="0" fontId="0" fillId="16" borderId="3" xfId="0" applyFill="1" applyBorder="1" applyAlignment="1" applyProtection="1"/>
    <xf numFmtId="0" fontId="0" fillId="5" borderId="1" xfId="0" applyFill="1" applyBorder="1" applyAlignment="1" applyProtection="1"/>
    <xf numFmtId="0" fontId="0" fillId="5" borderId="1" xfId="0" applyFill="1" applyBorder="1" applyAlignment="1"/>
    <xf numFmtId="0" fontId="0" fillId="0" borderId="1" xfId="0" applyBorder="1" applyAlignment="1">
      <alignment vertical="top"/>
    </xf>
    <xf numFmtId="164" fontId="0" fillId="0" borderId="1" xfId="1" applyFont="1" applyBorder="1"/>
    <xf numFmtId="0" fontId="0" fillId="0" borderId="1" xfId="0" applyBorder="1" applyAlignment="1">
      <alignment vertical="top" wrapText="1"/>
    </xf>
    <xf numFmtId="0" fontId="0" fillId="0" borderId="0" xfId="0" applyAlignment="1">
      <alignment horizontal="center"/>
    </xf>
    <xf numFmtId="0" fontId="0" fillId="16" borderId="8" xfId="0" applyFill="1" applyBorder="1" applyAlignment="1" applyProtection="1">
      <alignment horizontal="center"/>
    </xf>
    <xf numFmtId="0" fontId="0" fillId="11" borderId="8" xfId="0" applyFill="1" applyBorder="1" applyAlignment="1" applyProtection="1">
      <alignment horizontal="center"/>
    </xf>
    <xf numFmtId="0" fontId="0" fillId="10" borderId="8" xfId="0" applyFill="1" applyBorder="1" applyAlignment="1" applyProtection="1">
      <alignment horizontal="center"/>
    </xf>
    <xf numFmtId="0" fontId="0" fillId="13" borderId="8" xfId="0" applyFill="1" applyBorder="1" applyAlignment="1" applyProtection="1">
      <alignment horizontal="center"/>
    </xf>
    <xf numFmtId="0" fontId="0" fillId="4" borderId="8" xfId="0" applyFill="1" applyBorder="1" applyAlignment="1" applyProtection="1">
      <alignment horizontal="center"/>
    </xf>
    <xf numFmtId="0" fontId="0" fillId="14" borderId="8" xfId="0" applyFill="1" applyBorder="1" applyAlignment="1" applyProtection="1">
      <alignment horizontal="center"/>
    </xf>
    <xf numFmtId="0" fontId="0" fillId="7" borderId="8" xfId="0" applyFill="1" applyBorder="1" applyAlignment="1" applyProtection="1">
      <alignment horizontal="center"/>
    </xf>
    <xf numFmtId="0" fontId="0" fillId="12" borderId="8" xfId="0" applyFill="1" applyBorder="1" applyAlignment="1" applyProtection="1">
      <alignment horizontal="center"/>
    </xf>
    <xf numFmtId="0" fontId="0" fillId="6" borderId="8" xfId="0" applyFill="1" applyBorder="1" applyAlignment="1" applyProtection="1">
      <alignment horizontal="center"/>
    </xf>
    <xf numFmtId="0" fontId="0" fillId="8" borderId="8" xfId="0" applyFill="1" applyBorder="1" applyAlignment="1" applyProtection="1">
      <alignment horizontal="center"/>
    </xf>
    <xf numFmtId="0" fontId="0" fillId="3" borderId="8" xfId="0" applyFill="1" applyBorder="1" applyAlignment="1" applyProtection="1">
      <alignment horizontal="center"/>
    </xf>
    <xf numFmtId="0" fontId="0" fillId="5" borderId="8" xfId="0" applyFill="1" applyBorder="1" applyAlignment="1" applyProtection="1">
      <alignment horizontal="center"/>
    </xf>
    <xf numFmtId="0" fontId="0" fillId="2" borderId="8" xfId="0" applyFill="1" applyBorder="1" applyAlignment="1" applyProtection="1">
      <alignment horizontal="center"/>
    </xf>
    <xf numFmtId="0" fontId="0" fillId="5" borderId="1" xfId="0" applyFill="1" applyBorder="1" applyAlignment="1" applyProtection="1">
      <alignment horizontal="center"/>
    </xf>
    <xf numFmtId="0" fontId="0" fillId="5" borderId="8" xfId="0" applyFill="1" applyBorder="1" applyAlignment="1">
      <alignment horizontal="center"/>
    </xf>
    <xf numFmtId="0" fontId="0" fillId="7" borderId="1" xfId="0" applyFill="1" applyBorder="1" applyAlignment="1" applyProtection="1">
      <alignment horizontal="center"/>
    </xf>
    <xf numFmtId="0" fontId="0" fillId="0" borderId="1" xfId="0" applyBorder="1" applyAlignment="1">
      <alignment horizontal="left" vertical="top" wrapText="1"/>
    </xf>
    <xf numFmtId="0" fontId="0" fillId="0" borderId="0" xfId="0" applyAlignment="1">
      <alignment horizontal="center"/>
    </xf>
    <xf numFmtId="0" fontId="2" fillId="17" borderId="2" xfId="0" applyFont="1" applyFill="1" applyBorder="1" applyAlignment="1">
      <alignment horizontal="left" wrapText="1"/>
    </xf>
    <xf numFmtId="0" fontId="2" fillId="17" borderId="13" xfId="0" applyFont="1" applyFill="1" applyBorder="1" applyAlignment="1">
      <alignment horizontal="left" wrapText="1"/>
    </xf>
    <xf numFmtId="0" fontId="2" fillId="17" borderId="3" xfId="0" applyFont="1" applyFill="1" applyBorder="1" applyAlignment="1">
      <alignment horizontal="left" wrapText="1"/>
    </xf>
    <xf numFmtId="0" fontId="0" fillId="5" borderId="1" xfId="0" applyFill="1" applyBorder="1" applyAlignment="1" applyProtection="1">
      <alignment horizontal="center"/>
    </xf>
    <xf numFmtId="0" fontId="0" fillId="15" borderId="5" xfId="0" applyFill="1" applyBorder="1" applyAlignment="1">
      <alignment horizontal="center"/>
    </xf>
    <xf numFmtId="0" fontId="0" fillId="15" borderId="6" xfId="0" applyFill="1" applyBorder="1" applyAlignment="1">
      <alignment horizontal="center"/>
    </xf>
    <xf numFmtId="0" fontId="0" fillId="5" borderId="8" xfId="0" applyFill="1" applyBorder="1" applyAlignment="1">
      <alignment horizontal="center"/>
    </xf>
    <xf numFmtId="0" fontId="0" fillId="2" borderId="2" xfId="0" applyFill="1" applyBorder="1" applyAlignment="1" applyProtection="1">
      <alignment horizontal="center"/>
    </xf>
    <xf numFmtId="0" fontId="0" fillId="2" borderId="13" xfId="0" applyFill="1" applyBorder="1" applyAlignment="1" applyProtection="1">
      <alignment horizontal="center"/>
    </xf>
    <xf numFmtId="0" fontId="0" fillId="16" borderId="2" xfId="0" applyFill="1" applyBorder="1" applyAlignment="1" applyProtection="1">
      <alignment horizontal="center"/>
    </xf>
    <xf numFmtId="0" fontId="0" fillId="16" borderId="13" xfId="0" applyFill="1" applyBorder="1" applyAlignment="1" applyProtection="1">
      <alignment horizontal="center"/>
    </xf>
    <xf numFmtId="0" fontId="0" fillId="3" borderId="2" xfId="0" applyFill="1" applyBorder="1" applyAlignment="1" applyProtection="1">
      <alignment horizontal="center"/>
    </xf>
    <xf numFmtId="0" fontId="0" fillId="3" borderId="13" xfId="0" applyFill="1" applyBorder="1" applyAlignment="1" applyProtection="1">
      <alignment horizontal="center"/>
    </xf>
    <xf numFmtId="0" fontId="0" fillId="15" borderId="5" xfId="0" applyFill="1" applyBorder="1" applyAlignment="1" applyProtection="1">
      <alignment horizontal="center"/>
    </xf>
    <xf numFmtId="0" fontId="0" fillId="15" borderId="6" xfId="0" applyFill="1" applyBorder="1" applyAlignment="1" applyProtection="1">
      <alignment horizontal="center"/>
    </xf>
    <xf numFmtId="0" fontId="0" fillId="3" borderId="8" xfId="0" applyFill="1" applyBorder="1" applyAlignment="1" applyProtection="1">
      <alignment horizontal="center"/>
    </xf>
    <xf numFmtId="0" fontId="0" fillId="5" borderId="8" xfId="0" applyFill="1" applyBorder="1" applyAlignment="1" applyProtection="1">
      <alignment horizontal="center"/>
    </xf>
    <xf numFmtId="0" fontId="0" fillId="0" borderId="8"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7" borderId="1" xfId="0" applyFill="1" applyBorder="1" applyAlignment="1" applyProtection="1">
      <alignment horizontal="center"/>
    </xf>
    <xf numFmtId="0" fontId="0" fillId="9" borderId="5" xfId="0" applyFill="1" applyBorder="1" applyAlignment="1">
      <alignment horizontal="center"/>
    </xf>
    <xf numFmtId="0" fontId="0" fillId="9" borderId="9" xfId="0" applyFill="1" applyBorder="1" applyAlignment="1">
      <alignment horizontal="center"/>
    </xf>
    <xf numFmtId="0" fontId="0" fillId="12" borderId="2" xfId="0" applyFill="1" applyBorder="1" applyAlignment="1" applyProtection="1">
      <alignment horizontal="center"/>
    </xf>
    <xf numFmtId="0" fontId="0" fillId="12" borderId="13" xfId="0" applyFill="1" applyBorder="1" applyAlignment="1" applyProtection="1">
      <alignment horizontal="center"/>
    </xf>
    <xf numFmtId="0" fontId="0" fillId="6" borderId="2" xfId="0" applyFill="1" applyBorder="1" applyAlignment="1" applyProtection="1">
      <alignment horizontal="center"/>
    </xf>
    <xf numFmtId="0" fontId="0" fillId="6" borderId="13" xfId="0" applyFill="1" applyBorder="1" applyAlignment="1" applyProtection="1">
      <alignment horizontal="center"/>
    </xf>
    <xf numFmtId="0" fontId="0" fillId="8" borderId="2" xfId="0" applyFill="1" applyBorder="1" applyAlignment="1" applyProtection="1">
      <alignment horizontal="center"/>
    </xf>
    <xf numFmtId="0" fontId="0" fillId="8" borderId="13" xfId="0" applyFill="1" applyBorder="1" applyAlignment="1" applyProtection="1">
      <alignment horizontal="center"/>
    </xf>
    <xf numFmtId="0" fontId="0" fillId="7" borderId="8" xfId="0" applyFill="1" applyBorder="1" applyAlignment="1" applyProtection="1">
      <alignment horizontal="center"/>
    </xf>
    <xf numFmtId="0" fontId="0" fillId="12" borderId="8" xfId="0" applyFill="1" applyBorder="1" applyAlignment="1" applyProtection="1">
      <alignment horizontal="center"/>
    </xf>
    <xf numFmtId="0" fontId="0" fillId="6" borderId="11" xfId="0" applyFill="1" applyBorder="1" applyAlignment="1" applyProtection="1">
      <alignment horizontal="center"/>
    </xf>
    <xf numFmtId="0" fontId="0" fillId="6" borderId="8" xfId="0" applyFill="1" applyBorder="1" applyAlignment="1" applyProtection="1">
      <alignment horizontal="center"/>
    </xf>
    <xf numFmtId="0" fontId="0" fillId="8" borderId="8" xfId="0" applyFill="1" applyBorder="1" applyAlignment="1" applyProtection="1">
      <alignment horizontal="center"/>
    </xf>
    <xf numFmtId="0" fontId="0" fillId="2" borderId="8" xfId="0" applyFill="1" applyBorder="1" applyAlignment="1" applyProtection="1">
      <alignment horizontal="center"/>
    </xf>
    <xf numFmtId="0" fontId="0" fillId="16" borderId="8" xfId="0" applyFill="1" applyBorder="1" applyAlignment="1" applyProtection="1">
      <alignment horizontal="center"/>
    </xf>
    <xf numFmtId="0" fontId="0" fillId="11" borderId="8" xfId="0" applyFill="1" applyBorder="1" applyAlignment="1" applyProtection="1">
      <alignment horizontal="center"/>
    </xf>
    <xf numFmtId="0" fontId="0" fillId="10" borderId="8" xfId="0" applyFill="1" applyBorder="1" applyAlignment="1" applyProtection="1">
      <alignment horizontal="center"/>
    </xf>
    <xf numFmtId="0" fontId="0" fillId="13" borderId="8" xfId="0" applyFill="1" applyBorder="1" applyAlignment="1" applyProtection="1">
      <alignment horizontal="center"/>
    </xf>
    <xf numFmtId="0" fontId="0" fillId="4" borderId="8" xfId="0" applyFill="1" applyBorder="1" applyAlignment="1" applyProtection="1">
      <alignment horizontal="center"/>
    </xf>
    <xf numFmtId="0" fontId="0" fillId="14" borderId="8" xfId="0" applyFill="1" applyBorder="1" applyAlignment="1" applyProtection="1">
      <alignment horizontal="center"/>
    </xf>
    <xf numFmtId="0" fontId="0" fillId="14" borderId="2" xfId="0" applyFill="1" applyBorder="1" applyAlignment="1" applyProtection="1">
      <alignment horizontal="center"/>
    </xf>
    <xf numFmtId="0" fontId="0" fillId="14" borderId="13" xfId="0" applyFill="1" applyBorder="1" applyAlignment="1" applyProtection="1">
      <alignment horizontal="center"/>
    </xf>
    <xf numFmtId="0" fontId="0" fillId="5" borderId="2" xfId="0" applyFill="1" applyBorder="1" applyAlignment="1" applyProtection="1">
      <alignment horizontal="center"/>
    </xf>
    <xf numFmtId="0" fontId="0" fillId="5" borderId="13" xfId="0" applyFill="1" applyBorder="1" applyAlignment="1" applyProtection="1">
      <alignment horizontal="center"/>
    </xf>
    <xf numFmtId="0" fontId="0" fillId="0" borderId="10" xfId="0" applyBorder="1" applyAlignment="1" applyProtection="1">
      <alignment horizontal="center"/>
    </xf>
    <xf numFmtId="0" fontId="0" fillId="0" borderId="12" xfId="0" applyBorder="1" applyAlignment="1" applyProtection="1">
      <alignment horizontal="center"/>
    </xf>
    <xf numFmtId="0" fontId="0" fillId="11" borderId="2" xfId="0" applyFill="1" applyBorder="1" applyAlignment="1" applyProtection="1">
      <alignment horizontal="center"/>
    </xf>
    <xf numFmtId="0" fontId="0" fillId="11" borderId="13" xfId="0" applyFill="1" applyBorder="1" applyAlignment="1" applyProtection="1">
      <alignment horizontal="center"/>
    </xf>
    <xf numFmtId="0" fontId="0" fillId="10" borderId="2" xfId="0" applyFill="1" applyBorder="1" applyAlignment="1" applyProtection="1">
      <alignment horizontal="center"/>
    </xf>
    <xf numFmtId="0" fontId="0" fillId="10" borderId="13" xfId="0" applyFill="1" applyBorder="1" applyAlignment="1" applyProtection="1">
      <alignment horizontal="center"/>
    </xf>
    <xf numFmtId="0" fontId="0" fillId="13" borderId="2" xfId="0" applyFill="1" applyBorder="1" applyAlignment="1" applyProtection="1">
      <alignment horizontal="center"/>
    </xf>
    <xf numFmtId="0" fontId="0" fillId="13" borderId="13" xfId="0" applyFill="1" applyBorder="1" applyAlignment="1" applyProtection="1">
      <alignment horizontal="center"/>
    </xf>
    <xf numFmtId="0" fontId="0" fillId="4" borderId="2" xfId="0" applyFill="1" applyBorder="1" applyAlignment="1" applyProtection="1">
      <alignment horizontal="center"/>
    </xf>
    <xf numFmtId="0" fontId="0" fillId="4" borderId="13" xfId="0" applyFill="1" applyBorder="1" applyAlignment="1" applyProtection="1">
      <alignment horizontal="center"/>
    </xf>
  </cellXfs>
  <cellStyles count="3">
    <cellStyle name="Currency" xfId="1" builtinId="4"/>
    <cellStyle name="Moneda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nel%20de%20contr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Participantes"/>
      <sheetName val="Tabla general"/>
      <sheetName val="Sem 1 - Partidos"/>
      <sheetName val="Sem 2 - Partidos"/>
      <sheetName val="Sem 3 - Partidos"/>
      <sheetName val="Sem 4 - Partidos"/>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B4" sqref="B4:E4"/>
    </sheetView>
  </sheetViews>
  <sheetFormatPr defaultColWidth="11.42578125" defaultRowHeight="15"/>
  <cols>
    <col min="1" max="1" width="31.28515625" customWidth="1"/>
    <col min="2" max="2" width="57.140625" customWidth="1"/>
  </cols>
  <sheetData>
    <row r="1" spans="1:5">
      <c r="A1" s="2" t="s">
        <v>0</v>
      </c>
      <c r="B1" s="2" t="s">
        <v>1</v>
      </c>
      <c r="C1" s="2"/>
      <c r="D1" s="2"/>
      <c r="E1" s="2"/>
    </row>
    <row r="2" spans="1:5">
      <c r="A2" s="2"/>
      <c r="B2" s="2" t="s">
        <v>2</v>
      </c>
      <c r="C2" s="2"/>
      <c r="D2" s="2"/>
      <c r="E2" s="2"/>
    </row>
    <row r="3" spans="1:5">
      <c r="A3" s="2" t="s">
        <v>3</v>
      </c>
      <c r="B3" s="2" t="s">
        <v>4</v>
      </c>
      <c r="C3" s="2"/>
      <c r="D3" s="2"/>
      <c r="E3" s="2"/>
    </row>
    <row r="4" spans="1:5" ht="353.45" customHeight="1">
      <c r="A4" s="93" t="s">
        <v>5</v>
      </c>
      <c r="B4" s="113" t="s">
        <v>6</v>
      </c>
      <c r="C4" s="113"/>
      <c r="D4" s="113"/>
      <c r="E4" s="113"/>
    </row>
    <row r="5" spans="1:5" ht="244.9" customHeight="1">
      <c r="A5" s="93" t="s">
        <v>7</v>
      </c>
      <c r="B5" s="113" t="s">
        <v>8</v>
      </c>
      <c r="C5" s="113"/>
      <c r="D5" s="113"/>
      <c r="E5" s="113"/>
    </row>
    <row r="6" spans="1:5" ht="268.14999999999998" customHeight="1">
      <c r="A6" s="93" t="s">
        <v>9</v>
      </c>
      <c r="B6" s="113" t="s">
        <v>10</v>
      </c>
      <c r="C6" s="113"/>
      <c r="D6" s="113"/>
      <c r="E6" s="113"/>
    </row>
    <row r="7" spans="1:5">
      <c r="A7" s="93" t="s">
        <v>11</v>
      </c>
      <c r="B7" s="94">
        <v>300</v>
      </c>
      <c r="C7" s="2"/>
      <c r="D7" s="2"/>
      <c r="E7" s="2"/>
    </row>
    <row r="8" spans="1:5">
      <c r="A8" s="93" t="s">
        <v>12</v>
      </c>
      <c r="B8" s="95" t="s">
        <v>13</v>
      </c>
      <c r="C8" s="2"/>
      <c r="D8" s="2"/>
      <c r="E8" s="2"/>
    </row>
  </sheetData>
  <mergeCells count="3">
    <mergeCell ref="B4:E4"/>
    <mergeCell ref="B5:E5"/>
    <mergeCell ref="B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workbookViewId="0">
      <selection activeCell="I4" sqref="I4"/>
    </sheetView>
  </sheetViews>
  <sheetFormatPr defaultColWidth="11.42578125" defaultRowHeight="15"/>
  <cols>
    <col min="1" max="1" width="11.85546875" bestFit="1" customWidth="1"/>
    <col min="2" max="2" width="24" bestFit="1" customWidth="1"/>
    <col min="4" max="4" width="14.42578125" bestFit="1" customWidth="1"/>
  </cols>
  <sheetData>
    <row r="1" spans="1:10">
      <c r="A1" t="s">
        <v>14</v>
      </c>
      <c r="B1" t="s">
        <v>15</v>
      </c>
      <c r="C1" t="s">
        <v>16</v>
      </c>
      <c r="D1" t="s">
        <v>17</v>
      </c>
      <c r="E1" t="s">
        <v>18</v>
      </c>
      <c r="H1" t="s">
        <v>19</v>
      </c>
      <c r="I1" t="s">
        <v>20</v>
      </c>
      <c r="J1" t="s">
        <v>21</v>
      </c>
    </row>
    <row r="2" spans="1:10">
      <c r="A2">
        <v>1</v>
      </c>
      <c r="B2" t="s">
        <v>22</v>
      </c>
      <c r="C2" t="s">
        <v>23</v>
      </c>
      <c r="D2" t="s">
        <v>24</v>
      </c>
      <c r="E2" s="1"/>
      <c r="F2" s="9">
        <v>300</v>
      </c>
      <c r="H2" t="s">
        <v>25</v>
      </c>
      <c r="I2" s="51">
        <v>0.7</v>
      </c>
      <c r="J2" s="9">
        <f>$F$22*I2</f>
        <v>2730</v>
      </c>
    </row>
    <row r="3" spans="1:10">
      <c r="A3">
        <v>2</v>
      </c>
      <c r="B3" t="s">
        <v>26</v>
      </c>
      <c r="C3" t="s">
        <v>27</v>
      </c>
      <c r="D3" t="s">
        <v>28</v>
      </c>
      <c r="E3" s="1"/>
      <c r="F3" s="9">
        <v>300</v>
      </c>
      <c r="H3" t="s">
        <v>29</v>
      </c>
      <c r="I3" s="51">
        <v>0.2</v>
      </c>
      <c r="J3" s="9">
        <f t="shared" ref="J3:J4" si="0">$F$22*I3</f>
        <v>780</v>
      </c>
    </row>
    <row r="4" spans="1:10">
      <c r="A4">
        <v>3</v>
      </c>
      <c r="B4" t="s">
        <v>30</v>
      </c>
      <c r="C4" t="s">
        <v>31</v>
      </c>
      <c r="D4" t="s">
        <v>28</v>
      </c>
      <c r="E4" s="1"/>
      <c r="F4" s="9">
        <v>300</v>
      </c>
      <c r="H4" t="s">
        <v>32</v>
      </c>
      <c r="I4" s="51">
        <v>0.1</v>
      </c>
      <c r="J4" s="9">
        <f t="shared" si="0"/>
        <v>390</v>
      </c>
    </row>
    <row r="5" spans="1:10">
      <c r="A5">
        <v>4</v>
      </c>
      <c r="B5" t="s">
        <v>33</v>
      </c>
      <c r="C5" t="s">
        <v>34</v>
      </c>
      <c r="D5" t="s">
        <v>35</v>
      </c>
      <c r="E5" s="1"/>
      <c r="F5" s="9">
        <v>300</v>
      </c>
      <c r="I5" t="s">
        <v>36</v>
      </c>
      <c r="J5" s="9">
        <f>SUM(J2:J4)</f>
        <v>3900</v>
      </c>
    </row>
    <row r="6" spans="1:10">
      <c r="A6">
        <v>5</v>
      </c>
      <c r="B6" t="s">
        <v>37</v>
      </c>
      <c r="C6" t="s">
        <v>38</v>
      </c>
      <c r="D6" t="s">
        <v>28</v>
      </c>
      <c r="E6" s="1"/>
      <c r="F6" s="9">
        <v>300</v>
      </c>
    </row>
    <row r="7" spans="1:10">
      <c r="A7">
        <v>6</v>
      </c>
      <c r="B7" t="s">
        <v>39</v>
      </c>
      <c r="C7" t="s">
        <v>40</v>
      </c>
      <c r="D7" t="s">
        <v>28</v>
      </c>
      <c r="E7" s="1"/>
      <c r="F7" s="9">
        <v>300</v>
      </c>
    </row>
    <row r="8" spans="1:10">
      <c r="A8">
        <v>7</v>
      </c>
      <c r="B8" t="s">
        <v>41</v>
      </c>
      <c r="C8" t="s">
        <v>42</v>
      </c>
      <c r="D8" t="s">
        <v>24</v>
      </c>
      <c r="E8" s="1"/>
      <c r="F8" s="9">
        <v>300</v>
      </c>
    </row>
    <row r="9" spans="1:10">
      <c r="A9">
        <v>8</v>
      </c>
      <c r="B9" t="s">
        <v>43</v>
      </c>
      <c r="C9" t="s">
        <v>44</v>
      </c>
      <c r="D9" t="s">
        <v>28</v>
      </c>
      <c r="E9" s="1"/>
      <c r="F9" s="9">
        <v>300</v>
      </c>
    </row>
    <row r="10" spans="1:10">
      <c r="A10">
        <v>9</v>
      </c>
      <c r="B10" t="s">
        <v>45</v>
      </c>
      <c r="C10" t="s">
        <v>46</v>
      </c>
      <c r="D10" t="s">
        <v>28</v>
      </c>
      <c r="E10" s="1"/>
      <c r="F10" s="9">
        <v>300</v>
      </c>
    </row>
    <row r="11" spans="1:10">
      <c r="A11">
        <v>10</v>
      </c>
      <c r="B11" t="s">
        <v>47</v>
      </c>
      <c r="C11" t="s">
        <v>48</v>
      </c>
      <c r="D11" t="s">
        <v>28</v>
      </c>
      <c r="E11" s="1"/>
      <c r="F11" s="9">
        <v>300</v>
      </c>
    </row>
    <row r="12" spans="1:10">
      <c r="A12">
        <v>11</v>
      </c>
      <c r="B12" t="s">
        <v>49</v>
      </c>
      <c r="C12" t="s">
        <v>50</v>
      </c>
      <c r="D12" t="s">
        <v>28</v>
      </c>
      <c r="E12" s="1"/>
      <c r="F12" s="9">
        <v>300</v>
      </c>
    </row>
    <row r="13" spans="1:10">
      <c r="A13">
        <v>12</v>
      </c>
      <c r="B13" t="s">
        <v>51</v>
      </c>
      <c r="C13" t="s">
        <v>52</v>
      </c>
      <c r="D13" t="s">
        <v>35</v>
      </c>
      <c r="E13" s="1"/>
      <c r="F13" s="9">
        <v>300</v>
      </c>
    </row>
    <row r="14" spans="1:10">
      <c r="A14">
        <v>13</v>
      </c>
      <c r="B14" t="s">
        <v>53</v>
      </c>
      <c r="C14" t="s">
        <v>54</v>
      </c>
      <c r="D14" t="s">
        <v>28</v>
      </c>
      <c r="E14" s="1"/>
      <c r="F14" s="9">
        <v>300</v>
      </c>
    </row>
    <row r="15" spans="1:10">
      <c r="A15">
        <v>14</v>
      </c>
      <c r="B15" t="s">
        <v>55</v>
      </c>
      <c r="C15" t="s">
        <v>55</v>
      </c>
      <c r="D15" t="s">
        <v>55</v>
      </c>
      <c r="E15" s="1"/>
      <c r="F15" s="9"/>
    </row>
    <row r="16" spans="1:10">
      <c r="A16">
        <v>15</v>
      </c>
      <c r="B16" t="s">
        <v>55</v>
      </c>
      <c r="C16" t="s">
        <v>55</v>
      </c>
      <c r="D16" t="s">
        <v>55</v>
      </c>
      <c r="E16" s="1"/>
      <c r="F16" s="9"/>
    </row>
    <row r="17" spans="1:6">
      <c r="A17">
        <v>16</v>
      </c>
      <c r="B17" t="s">
        <v>55</v>
      </c>
      <c r="C17" t="s">
        <v>55</v>
      </c>
      <c r="D17" t="s">
        <v>55</v>
      </c>
      <c r="E17" s="1"/>
      <c r="F17" s="9"/>
    </row>
    <row r="18" spans="1:6">
      <c r="A18">
        <v>17</v>
      </c>
      <c r="B18" t="s">
        <v>55</v>
      </c>
      <c r="C18" t="s">
        <v>55</v>
      </c>
      <c r="D18" t="s">
        <v>55</v>
      </c>
    </row>
    <row r="19" spans="1:6">
      <c r="A19">
        <v>18</v>
      </c>
      <c r="B19" t="s">
        <v>55</v>
      </c>
      <c r="C19" t="s">
        <v>55</v>
      </c>
      <c r="D19" t="s">
        <v>55</v>
      </c>
    </row>
    <row r="20" spans="1:6">
      <c r="A20">
        <v>19</v>
      </c>
      <c r="B20" t="s">
        <v>55</v>
      </c>
      <c r="C20" t="s">
        <v>55</v>
      </c>
      <c r="D20" t="s">
        <v>55</v>
      </c>
    </row>
    <row r="21" spans="1:6">
      <c r="A21">
        <v>20</v>
      </c>
      <c r="B21" t="s">
        <v>55</v>
      </c>
      <c r="C21" t="s">
        <v>55</v>
      </c>
      <c r="D21" t="s">
        <v>55</v>
      </c>
    </row>
    <row r="22" spans="1:6">
      <c r="E22" t="s">
        <v>56</v>
      </c>
      <c r="F22" s="9">
        <f>SUM(F2:F21)</f>
        <v>3900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
  <sheetViews>
    <sheetView tabSelected="1" zoomScale="150" zoomScaleNormal="150" workbookViewId="0">
      <selection activeCell="E20" sqref="E20"/>
    </sheetView>
  </sheetViews>
  <sheetFormatPr defaultColWidth="11.42578125" defaultRowHeight="15"/>
  <cols>
    <col min="1" max="1" width="6.42578125" customWidth="1"/>
    <col min="2" max="2" width="24" bestFit="1" customWidth="1"/>
    <col min="3" max="3" width="13.42578125" customWidth="1"/>
    <col min="4" max="4" width="0.28515625" customWidth="1"/>
    <col min="5" max="7" width="12.85546875" bestFit="1" customWidth="1"/>
    <col min="8" max="8" width="11.85546875" bestFit="1" customWidth="1"/>
  </cols>
  <sheetData>
    <row r="1" spans="1:12">
      <c r="B1" t="s">
        <v>57</v>
      </c>
    </row>
    <row r="2" spans="1:12">
      <c r="C2" s="114"/>
      <c r="D2" s="114"/>
      <c r="E2" s="114"/>
      <c r="F2" s="114"/>
      <c r="G2" s="114"/>
      <c r="H2" s="114"/>
    </row>
    <row r="3" spans="1:12">
      <c r="A3" t="s">
        <v>14</v>
      </c>
      <c r="B3" s="44" t="s">
        <v>58</v>
      </c>
      <c r="C3" s="45" t="s">
        <v>59</v>
      </c>
      <c r="D3" s="44"/>
      <c r="E3" s="45" t="s">
        <v>17</v>
      </c>
      <c r="K3" s="114" t="s">
        <v>59</v>
      </c>
      <c r="L3" s="114"/>
    </row>
    <row r="4" spans="1:12">
      <c r="A4">
        <v>1</v>
      </c>
      <c r="B4" t="str">
        <f>VLOOKUP($A4,[0]!participantes,2)</f>
        <v>Noemi Padilla</v>
      </c>
      <c r="C4" s="96">
        <f>SUM(HLOOKUP(A4,PronosticosSem1,29,FALSE), HLOOKUP(A4,PronosticosSem2,30,FALSE), HLOOKUP(A4,PronosticosSem3,13,FALSE), HLOOKUP(A4,PronosticosSem4,13,FALSE))</f>
        <v>0</v>
      </c>
      <c r="E4" s="96"/>
      <c r="K4" t="s">
        <v>60</v>
      </c>
      <c r="L4">
        <v>1</v>
      </c>
    </row>
    <row r="5" spans="1:12">
      <c r="A5">
        <v>2</v>
      </c>
      <c r="B5" t="str">
        <f>VLOOKUP($A5,[0]!participantes,2)</f>
        <v>Fabricio Ruíz</v>
      </c>
      <c r="C5" s="96">
        <f>SUM(HLOOKUP(A5,PronosticosSem1,29,FALSE), HLOOKUP(A5,PronosticosSem2,30,FALSE), HLOOKUP(A5,PronosticosSem3,13,FALSE), HLOOKUP(A5,PronosticosSem4,13,FALSE))</f>
        <v>0</v>
      </c>
      <c r="E5" s="96"/>
      <c r="K5" t="s">
        <v>61</v>
      </c>
      <c r="L5">
        <v>1</v>
      </c>
    </row>
    <row r="6" spans="1:12">
      <c r="A6">
        <v>3</v>
      </c>
      <c r="B6" t="str">
        <f>VLOOKUP($A6,[0]!participantes,2)</f>
        <v>Adrian Molina</v>
      </c>
      <c r="C6" s="96">
        <f>SUM(HLOOKUP(A6,PronosticosSem1,29,FALSE), HLOOKUP(A6,PronosticosSem2,30,FALSE), HLOOKUP(A6,PronosticosSem3,13,FALSE), HLOOKUP(A6,PronosticosSem4,13,FALSE))</f>
        <v>0</v>
      </c>
      <c r="E6" s="96"/>
      <c r="K6" t="s">
        <v>62</v>
      </c>
      <c r="L6">
        <v>3</v>
      </c>
    </row>
    <row r="7" spans="1:12">
      <c r="A7">
        <v>4</v>
      </c>
      <c r="B7" t="str">
        <f>VLOOKUP($A7,[0]!participantes,2)</f>
        <v>Ezequiel Manzo</v>
      </c>
      <c r="C7" s="96">
        <f>SUM(HLOOKUP(A7,PronosticosSem1,29,FALSE), HLOOKUP(A7,PronosticosSem2,30,FALSE), HLOOKUP(A7,PronosticosSem3,13,FALSE), HLOOKUP(A7,PronosticosSem4,13,FALSE))</f>
        <v>0</v>
      </c>
      <c r="E7" s="96"/>
    </row>
    <row r="8" spans="1:12">
      <c r="A8">
        <v>5</v>
      </c>
      <c r="B8" t="str">
        <f>VLOOKUP($A8,[0]!participantes,2)</f>
        <v>Ricardo Guerra</v>
      </c>
      <c r="C8" s="96">
        <f>SUM(HLOOKUP(A8,PronosticosSem1,29,FALSE), HLOOKUP(A8,PronosticosSem2,30,FALSE), HLOOKUP(A8,PronosticosSem3,13,FALSE), HLOOKUP(A8,PronosticosSem4,13,FALSE))</f>
        <v>0</v>
      </c>
      <c r="E8" s="96"/>
    </row>
    <row r="9" spans="1:12">
      <c r="A9">
        <v>6</v>
      </c>
      <c r="B9" t="str">
        <f>VLOOKUP($A9,[0]!participantes,2)</f>
        <v>Mario</v>
      </c>
      <c r="C9" s="96">
        <f>SUM(HLOOKUP(A9,PronosticosSem1,29,FALSE), HLOOKUP(A9,PronosticosSem2,30,FALSE), HLOOKUP(A9,PronosticosSem3,13,FALSE), HLOOKUP(A9,PronosticosSem4,13,FALSE))</f>
        <v>0</v>
      </c>
      <c r="E9" s="96"/>
    </row>
    <row r="10" spans="1:12">
      <c r="A10">
        <v>7</v>
      </c>
      <c r="B10" t="str">
        <f>VLOOKUP($A10,[0]!participantes,2)</f>
        <v>Alejandro Cruz</v>
      </c>
      <c r="C10" s="96">
        <f>SUM(HLOOKUP(A10,PronosticosSem1,29,FALSE), HLOOKUP(A10,PronosticosSem2,30,FALSE), HLOOKUP(A10,PronosticosSem3,13,FALSE), HLOOKUP(A10,PronosticosSem4,13,FALSE))</f>
        <v>0</v>
      </c>
      <c r="E10" s="96"/>
    </row>
    <row r="11" spans="1:12">
      <c r="A11">
        <v>8</v>
      </c>
      <c r="B11" t="str">
        <f>VLOOKUP($A11,[0]!participantes,2)</f>
        <v>Antonio Lopez</v>
      </c>
      <c r="C11" s="96">
        <f>SUM(HLOOKUP(A11,PronosticosSem1,29,FALSE), HLOOKUP(A11,PronosticosSem2,30,FALSE), HLOOKUP(A11,PronosticosSem3,13,FALSE), HLOOKUP(A11,PronosticosSem4,13,FALSE))</f>
        <v>0</v>
      </c>
      <c r="E11" s="96"/>
    </row>
    <row r="12" spans="1:12">
      <c r="A12">
        <v>9</v>
      </c>
      <c r="B12" t="str">
        <f>VLOOKUP($A12,[0]!participantes,2)</f>
        <v>Christian</v>
      </c>
      <c r="C12" s="96">
        <f>SUM(HLOOKUP(A12,PronosticosSem1,29,FALSE), HLOOKUP(A12,PronosticosSem2,30,FALSE), HLOOKUP(A12,PronosticosSem3,13,FALSE), HLOOKUP(A12,PronosticosSem4,13,FALSE))</f>
        <v>0</v>
      </c>
      <c r="E12" s="96"/>
    </row>
    <row r="13" spans="1:12">
      <c r="A13">
        <v>10</v>
      </c>
      <c r="B13" t="str">
        <f>VLOOKUP($A13,[0]!participantes,2)</f>
        <v>Kevin Salomón</v>
      </c>
      <c r="C13" s="96">
        <f>SUM(HLOOKUP(A13,PronosticosSem1,29,FALSE), HLOOKUP(A13,PronosticosSem2,30,FALSE), HLOOKUP(A13,PronosticosSem3,13,FALSE), HLOOKUP(A13,PronosticosSem4,13,FALSE))</f>
        <v>0</v>
      </c>
      <c r="E13" s="96"/>
    </row>
    <row r="14" spans="1:12">
      <c r="A14">
        <v>11</v>
      </c>
      <c r="B14" t="str">
        <f>VLOOKUP($A14,[0]!participantes,2)</f>
        <v>Emmanuel</v>
      </c>
      <c r="C14" s="96">
        <f>SUM(HLOOKUP(A14,PronosticosSem1,29,FALSE), HLOOKUP(A14,PronosticosSem2,30,FALSE), HLOOKUP(A14,PronosticosSem3,13,FALSE), HLOOKUP(A14,PronosticosSem4,13,FALSE))</f>
        <v>0</v>
      </c>
      <c r="E14" s="96"/>
    </row>
    <row r="15" spans="1:12">
      <c r="A15">
        <v>12</v>
      </c>
      <c r="B15" t="str">
        <f>VLOOKUP($A15,[0]!participantes,2)</f>
        <v>Miguel Villafuerte</v>
      </c>
      <c r="C15" s="96">
        <f>SUM(HLOOKUP(A15,PronosticosSem1,29,FALSE), HLOOKUP(A15,PronosticosSem2,30,FALSE), HLOOKUP(A15,PronosticosSem3,13,FALSE), HLOOKUP(A15,PronosticosSem4,13,FALSE))</f>
        <v>0</v>
      </c>
      <c r="E15" s="96"/>
    </row>
    <row r="16" spans="1:12">
      <c r="A16">
        <v>13</v>
      </c>
      <c r="B16" t="str">
        <f>VLOOKUP($A16,[0]!participantes,2)</f>
        <v>David Perez</v>
      </c>
      <c r="C16" s="96">
        <f>SUM(HLOOKUP(A16,PronosticosSem1,29,FALSE), HLOOKUP(A16,PronosticosSem2,30,FALSE), HLOOKUP(A16,PronosticosSem3,13,FALSE), HLOOKUP(A16,PronosticosSem4,13,FALSE))</f>
        <v>0</v>
      </c>
      <c r="E16" s="96"/>
    </row>
    <row r="17" spans="1:3">
      <c r="A17">
        <v>14</v>
      </c>
      <c r="B17" t="str">
        <f>VLOOKUP($A17,[0]!participantes,2)</f>
        <v>-</v>
      </c>
      <c r="C17" s="96">
        <f>SUM(HLOOKUP(A17,PronosticosSem1,29,FALSE), HLOOKUP(A17,PronosticosSem2,30,FALSE), HLOOKUP(A17,PronosticosSem3,13,FALSE), HLOOKUP(A17,PronosticosSem4,13,FALSE))</f>
        <v>0</v>
      </c>
    </row>
    <row r="18" spans="1:3">
      <c r="A18">
        <v>15</v>
      </c>
      <c r="B18" t="str">
        <f>VLOOKUP($A18,[0]!participantes,2)</f>
        <v>-</v>
      </c>
      <c r="C18" s="96">
        <f>SUM(HLOOKUP(A18,PronosticosSem1,29,FALSE), HLOOKUP(A18,PronosticosSem2,30,FALSE), HLOOKUP(A18,PronosticosSem3,13,FALSE), HLOOKUP(A18,PronosticosSem4,13,FALSE))</f>
        <v>0</v>
      </c>
    </row>
    <row r="19" spans="1:3">
      <c r="A19">
        <v>16</v>
      </c>
      <c r="B19" t="str">
        <f>VLOOKUP($A19,[0]!participantes,2)</f>
        <v>-</v>
      </c>
    </row>
    <row r="20" spans="1:3">
      <c r="A20">
        <v>17</v>
      </c>
      <c r="B20" t="str">
        <f>VLOOKUP($A20,[0]!participantes,2)</f>
        <v>-</v>
      </c>
    </row>
    <row r="21" spans="1:3">
      <c r="A21">
        <v>18</v>
      </c>
      <c r="B21" t="str">
        <f>VLOOKUP($A21,[0]!participantes,2)</f>
        <v>-</v>
      </c>
    </row>
    <row r="22" spans="1:3">
      <c r="A22">
        <v>19</v>
      </c>
      <c r="B22" t="str">
        <f>VLOOKUP($A22,[0]!participantes,2)</f>
        <v>-</v>
      </c>
    </row>
    <row r="23" spans="1:3">
      <c r="A23">
        <v>20</v>
      </c>
      <c r="B23" t="str">
        <f>VLOOKUP($A23,[0]!participantes,2)</f>
        <v>-</v>
      </c>
    </row>
  </sheetData>
  <sortState xmlns:xlrd2="http://schemas.microsoft.com/office/spreadsheetml/2017/richdata2" ref="A4:C16">
    <sortCondition descending="1" ref="C4"/>
  </sortState>
  <mergeCells count="2">
    <mergeCell ref="C2:H2"/>
    <mergeCell ref="K3:L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30"/>
  <sheetViews>
    <sheetView workbookViewId="0">
      <pane xSplit="4" topLeftCell="E1" activePane="topRight" state="frozen"/>
      <selection pane="topRight" activeCell="D15" sqref="D15"/>
    </sheetView>
  </sheetViews>
  <sheetFormatPr defaultColWidth="11.42578125" defaultRowHeight="15"/>
  <cols>
    <col min="1" max="1" width="19.5703125" customWidth="1"/>
    <col min="2" max="2" width="18.140625" bestFit="1" customWidth="1"/>
    <col min="5" max="43" width="11.42578125" style="43" customWidth="1"/>
    <col min="44" max="49" width="11.42578125" style="43"/>
    <col min="50" max="52" width="11.42578125" customWidth="1"/>
  </cols>
  <sheetData>
    <row r="1" spans="1:52" ht="29.45" customHeight="1">
      <c r="A1" s="115" t="s">
        <v>63</v>
      </c>
      <c r="B1" s="116"/>
      <c r="C1" s="116"/>
      <c r="D1" s="117"/>
      <c r="E1" s="10"/>
      <c r="F1" s="10"/>
      <c r="G1" s="10"/>
      <c r="H1" s="10"/>
      <c r="I1" s="10"/>
      <c r="J1" s="10"/>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2"/>
      <c r="AY1" s="2"/>
      <c r="AZ1" s="2"/>
    </row>
    <row r="2" spans="1:52">
      <c r="A2" s="2"/>
      <c r="B2" s="2" t="s">
        <v>64</v>
      </c>
      <c r="C2" s="2"/>
      <c r="D2" s="6"/>
      <c r="E2" s="52"/>
      <c r="F2" s="53"/>
      <c r="G2" s="54">
        <v>1</v>
      </c>
      <c r="H2" s="55"/>
      <c r="I2" s="56"/>
      <c r="J2" s="57">
        <v>2</v>
      </c>
      <c r="K2" s="58"/>
      <c r="L2" s="59"/>
      <c r="M2" s="60">
        <v>3</v>
      </c>
      <c r="N2" s="61"/>
      <c r="O2" s="62"/>
      <c r="P2" s="63">
        <v>4</v>
      </c>
      <c r="Q2" s="64"/>
      <c r="R2" s="65"/>
      <c r="S2" s="66">
        <v>5</v>
      </c>
      <c r="T2" s="67"/>
      <c r="U2" s="68"/>
      <c r="V2" s="69">
        <v>6</v>
      </c>
      <c r="W2" s="70">
        <v>7</v>
      </c>
      <c r="X2" s="71"/>
      <c r="Y2" s="72"/>
      <c r="Z2" s="73"/>
      <c r="AA2" s="74"/>
      <c r="AB2" s="75">
        <v>7</v>
      </c>
      <c r="AC2" s="76"/>
      <c r="AD2" s="77"/>
      <c r="AE2" s="78">
        <v>8</v>
      </c>
      <c r="AF2" s="79"/>
      <c r="AG2" s="80"/>
      <c r="AH2" s="81">
        <v>9</v>
      </c>
      <c r="AI2" s="82"/>
      <c r="AJ2" s="83"/>
      <c r="AK2" s="84">
        <v>10</v>
      </c>
      <c r="AL2" s="85"/>
      <c r="AM2" s="86"/>
      <c r="AN2" s="87">
        <v>11</v>
      </c>
      <c r="AO2" s="88"/>
      <c r="AP2" s="89"/>
      <c r="AQ2" s="90">
        <v>12</v>
      </c>
      <c r="AR2" s="79"/>
      <c r="AS2" s="80"/>
      <c r="AT2" s="81">
        <v>13</v>
      </c>
      <c r="AU2" s="91"/>
      <c r="AV2" s="91"/>
      <c r="AW2" s="91">
        <v>14</v>
      </c>
      <c r="AX2" s="92"/>
      <c r="AY2" s="92"/>
      <c r="AZ2" s="92">
        <v>15</v>
      </c>
    </row>
    <row r="3" spans="1:52">
      <c r="A3" s="2"/>
      <c r="B3" s="2" t="s">
        <v>65</v>
      </c>
      <c r="C3" s="133" t="s">
        <v>66</v>
      </c>
      <c r="D3" s="134"/>
      <c r="E3" s="135" t="str">
        <f>VLOOKUP(G$2,[0]!participantes,2)</f>
        <v>Noemi Padilla</v>
      </c>
      <c r="F3" s="135"/>
      <c r="G3" s="112" t="s">
        <v>59</v>
      </c>
      <c r="H3" s="138" t="str">
        <f>VLOOKUP(J$2,[0]!participantes,2)</f>
        <v>Fabricio Ruíz</v>
      </c>
      <c r="I3" s="139"/>
      <c r="J3" s="12" t="s">
        <v>59</v>
      </c>
      <c r="K3" s="140" t="str">
        <f>VLOOKUP(M$2,[0]!participantes,2)</f>
        <v>Adrian Molina</v>
      </c>
      <c r="L3" s="141"/>
      <c r="M3" s="13" t="s">
        <v>59</v>
      </c>
      <c r="N3" s="142" t="str">
        <f>VLOOKUP(P$2,[0]!participantes,2)</f>
        <v>Ezequiel Manzo</v>
      </c>
      <c r="O3" s="143"/>
      <c r="P3" s="14" t="s">
        <v>59</v>
      </c>
      <c r="Q3" s="162" t="str">
        <f>VLOOKUP(S$2,[0]!participantes,2)</f>
        <v>Ricardo Guerra</v>
      </c>
      <c r="R3" s="163"/>
      <c r="S3" s="15" t="s">
        <v>59</v>
      </c>
      <c r="T3" s="164" t="str">
        <f>VLOOKUP(V$2,[0]!participantes,2)</f>
        <v>Mario</v>
      </c>
      <c r="U3" s="165"/>
      <c r="V3" s="16" t="s">
        <v>59</v>
      </c>
      <c r="W3" s="166" t="str">
        <f>VLOOKUP(W$2,[0]!participantes,2)</f>
        <v>Alejandro Cruz</v>
      </c>
      <c r="X3" s="167"/>
      <c r="Y3" s="17" t="s">
        <v>59</v>
      </c>
      <c r="Z3" s="168" t="str">
        <f>VLOOKUP(AB$2,[0]!participantes,2)</f>
        <v>Alejandro Cruz</v>
      </c>
      <c r="AA3" s="169"/>
      <c r="AB3" s="18" t="s">
        <v>59</v>
      </c>
      <c r="AC3" s="156" t="str">
        <f>VLOOKUP(AE$2,[0]!participantes,2)</f>
        <v>Antonio Lopez</v>
      </c>
      <c r="AD3" s="157"/>
      <c r="AE3" s="19" t="s">
        <v>59</v>
      </c>
      <c r="AF3" s="126" t="str">
        <f>VLOOKUP(AH$2,[0]!participantes,2)</f>
        <v>Christian</v>
      </c>
      <c r="AG3" s="127"/>
      <c r="AH3" s="20" t="s">
        <v>59</v>
      </c>
      <c r="AI3" s="158" t="str">
        <f>VLOOKUP(AK$2,[0]!participantes,2)</f>
        <v>Kevin Salomón</v>
      </c>
      <c r="AJ3" s="159"/>
      <c r="AK3" s="110" t="s">
        <v>59</v>
      </c>
      <c r="AL3" s="122" t="str">
        <f>VLOOKUP(AN$2,[0]!participantes,2)</f>
        <v>Emmanuel</v>
      </c>
      <c r="AM3" s="123"/>
      <c r="AN3" s="21" t="s">
        <v>59</v>
      </c>
      <c r="AO3" s="124" t="str">
        <f>VLOOKUP(AQ$2,[0]!participantes,2)</f>
        <v>Miguel Villafuerte</v>
      </c>
      <c r="AP3" s="125"/>
      <c r="AQ3" s="22" t="s">
        <v>59</v>
      </c>
      <c r="AR3" s="126" t="str">
        <f>VLOOKUP(AT$2,[0]!participantes,2)</f>
        <v>David Perez</v>
      </c>
      <c r="AS3" s="127"/>
      <c r="AT3" s="20" t="s">
        <v>59</v>
      </c>
      <c r="AU3" s="118" t="str">
        <f>VLOOKUP(AW$2,[0]!participantes,2)</f>
        <v>-</v>
      </c>
      <c r="AV3" s="118"/>
      <c r="AW3" s="23" t="s">
        <v>59</v>
      </c>
      <c r="AX3" s="118" t="str">
        <f>VLOOKUP(AZ$2,[0]!participantes,2)</f>
        <v>-</v>
      </c>
      <c r="AY3" s="118"/>
      <c r="AZ3" s="3" t="s">
        <v>59</v>
      </c>
    </row>
    <row r="4" spans="1:52" ht="15.75" thickBot="1">
      <c r="A4" s="4"/>
      <c r="B4" s="4" t="s">
        <v>67</v>
      </c>
      <c r="C4" s="136"/>
      <c r="D4" s="137"/>
      <c r="E4" s="128">
        <f>SUM(E6:F29)</f>
        <v>0</v>
      </c>
      <c r="F4" s="129"/>
      <c r="G4" s="24">
        <f>IF($C$4&lt;&gt;"",IF(E4=$C$4,'Tabla general'!$L$6,0), 0)</f>
        <v>0</v>
      </c>
      <c r="H4" s="128">
        <f>SUM(H6:I29)</f>
        <v>0</v>
      </c>
      <c r="I4" s="129"/>
      <c r="J4" s="24">
        <f>IF($C$4&lt;&gt;"",IF(H4=$C$4,'Tabla general'!$L$6,0), 0)</f>
        <v>0</v>
      </c>
      <c r="K4" s="128">
        <f>SUM(K6:L29)</f>
        <v>0</v>
      </c>
      <c r="L4" s="129"/>
      <c r="M4" s="24">
        <f>IF($C$4&lt;&gt;"",IF(K4=$C$4,'Tabla general'!$L$6,0), 0)</f>
        <v>0</v>
      </c>
      <c r="N4" s="128">
        <f>SUM(N6:O29)</f>
        <v>0</v>
      </c>
      <c r="O4" s="129"/>
      <c r="P4" s="24">
        <f>IF($C$4&lt;&gt;"",IF(N4=$C$4,'Tabla general'!$L$6,0), 0)</f>
        <v>0</v>
      </c>
      <c r="Q4" s="128">
        <f>SUM(Q6:R29)</f>
        <v>0</v>
      </c>
      <c r="R4" s="129"/>
      <c r="S4" s="24">
        <f>IF($C$4&lt;&gt;"",IF(Q4=$C$4,'Tabla general'!$L$6,0), 0)</f>
        <v>0</v>
      </c>
      <c r="T4" s="128">
        <f>SUM(T6:U29)</f>
        <v>0</v>
      </c>
      <c r="U4" s="129"/>
      <c r="V4" s="24">
        <f>IF($C$4&lt;&gt;"",IF(T4=$C$4,'Tabla general'!$L$6,0), 0)</f>
        <v>0</v>
      </c>
      <c r="W4" s="128">
        <f>SUM(W6:X29)</f>
        <v>0</v>
      </c>
      <c r="X4" s="129"/>
      <c r="Y4" s="24">
        <f>IF($C$4&lt;&gt;"",IF(W4=$C$4,'Tabla general'!$L$6,0), 0)</f>
        <v>0</v>
      </c>
      <c r="Z4" s="128">
        <f>SUM(Z6:AA29)</f>
        <v>0</v>
      </c>
      <c r="AA4" s="129"/>
      <c r="AB4" s="24">
        <f>IF($C$4&lt;&gt;"",IF(Z4=$C$4,'Tabla general'!$L$6,0), 0)</f>
        <v>0</v>
      </c>
      <c r="AC4" s="128">
        <f>SUM(AC6:AD29)</f>
        <v>0</v>
      </c>
      <c r="AD4" s="129"/>
      <c r="AE4" s="24">
        <f>IF($C$4&lt;&gt;"",IF(AC4=$C$4,'Tabla general'!$L$6,0), 0)</f>
        <v>0</v>
      </c>
      <c r="AF4" s="128">
        <f>SUM(AF6:AG29)</f>
        <v>0</v>
      </c>
      <c r="AG4" s="129"/>
      <c r="AH4" s="24">
        <f>IF($C$4&lt;&gt;"",IF(AF4=$C$4,'Tabla general'!$L$6,0), 0)</f>
        <v>0</v>
      </c>
      <c r="AI4" s="128">
        <f>SUM(AI6:AJ29)</f>
        <v>0</v>
      </c>
      <c r="AJ4" s="129"/>
      <c r="AK4" s="24">
        <f>IF($C$4&lt;&gt;"",IF(AI4=$C$4,'Tabla general'!$L$6,0), 0)</f>
        <v>0</v>
      </c>
      <c r="AL4" s="128">
        <f>SUM(AL6:AM29)</f>
        <v>0</v>
      </c>
      <c r="AM4" s="129"/>
      <c r="AN4" s="24">
        <f>IF($C$4&lt;&gt;"",IF(AL4=$C$4,'Tabla general'!$L$6,0), 0)</f>
        <v>0</v>
      </c>
      <c r="AO4" s="128">
        <f>SUM(AO6:AP29)</f>
        <v>0</v>
      </c>
      <c r="AP4" s="129"/>
      <c r="AQ4" s="24">
        <f>IF($C$4&lt;&gt;"",IF(AO4=$C$4,'Tabla general'!$L$6,0), 0)</f>
        <v>0</v>
      </c>
      <c r="AR4" s="128">
        <f>SUM(AR6:AS29)</f>
        <v>0</v>
      </c>
      <c r="AS4" s="129"/>
      <c r="AT4" s="24">
        <f>IF($C$4&lt;&gt;"",IF(AR4=$C$4,'Tabla general'!$L$6,0), 0)</f>
        <v>0</v>
      </c>
      <c r="AU4" s="128">
        <f>SUM(AU6:AV29)</f>
        <v>0</v>
      </c>
      <c r="AV4" s="129"/>
      <c r="AW4" s="24">
        <f>IF($C$4&lt;&gt;"",IF(AU4=$C$4,'Tabla general'!$L$6,0), 0)</f>
        <v>0</v>
      </c>
      <c r="AX4" s="119">
        <f>SUM(AX6:AY29)</f>
        <v>0</v>
      </c>
      <c r="AY4" s="120"/>
      <c r="AZ4" s="24">
        <f>IF($C$4&lt;&gt;"",IF(AX4=$C$4,'Tabla general'!$L$6,0), 0)</f>
        <v>0</v>
      </c>
    </row>
    <row r="5" spans="1:52" s="7" customFormat="1" ht="15.75" thickBot="1">
      <c r="A5" s="132" t="s">
        <v>68</v>
      </c>
      <c r="B5" s="132"/>
      <c r="C5" s="133" t="s">
        <v>69</v>
      </c>
      <c r="D5" s="134"/>
      <c r="E5" s="144" t="s">
        <v>70</v>
      </c>
      <c r="F5" s="144"/>
      <c r="G5" s="103" t="s">
        <v>59</v>
      </c>
      <c r="H5" s="145" t="s">
        <v>70</v>
      </c>
      <c r="I5" s="145"/>
      <c r="J5" s="104" t="s">
        <v>59</v>
      </c>
      <c r="K5" s="146" t="s">
        <v>70</v>
      </c>
      <c r="L5" s="147"/>
      <c r="M5" s="105" t="s">
        <v>59</v>
      </c>
      <c r="N5" s="148" t="s">
        <v>70</v>
      </c>
      <c r="O5" s="148"/>
      <c r="P5" s="106" t="s">
        <v>59</v>
      </c>
      <c r="Q5" s="151" t="s">
        <v>70</v>
      </c>
      <c r="R5" s="151"/>
      <c r="S5" s="98" t="s">
        <v>59</v>
      </c>
      <c r="T5" s="152" t="s">
        <v>70</v>
      </c>
      <c r="U5" s="152"/>
      <c r="V5" s="99" t="s">
        <v>59</v>
      </c>
      <c r="W5" s="153" t="s">
        <v>70</v>
      </c>
      <c r="X5" s="153"/>
      <c r="Y5" s="100" t="s">
        <v>59</v>
      </c>
      <c r="Z5" s="154" t="s">
        <v>70</v>
      </c>
      <c r="AA5" s="154"/>
      <c r="AB5" s="101" t="s">
        <v>59</v>
      </c>
      <c r="AC5" s="155" t="s">
        <v>70</v>
      </c>
      <c r="AD5" s="155"/>
      <c r="AE5" s="102" t="s">
        <v>59</v>
      </c>
      <c r="AF5" s="130" t="s">
        <v>70</v>
      </c>
      <c r="AG5" s="130"/>
      <c r="AH5" s="107" t="s">
        <v>59</v>
      </c>
      <c r="AI5" s="131" t="s">
        <v>70</v>
      </c>
      <c r="AJ5" s="131"/>
      <c r="AK5" s="108" t="s">
        <v>59</v>
      </c>
      <c r="AL5" s="149" t="s">
        <v>70</v>
      </c>
      <c r="AM5" s="149"/>
      <c r="AN5" s="109" t="s">
        <v>59</v>
      </c>
      <c r="AO5" s="150" t="s">
        <v>70</v>
      </c>
      <c r="AP5" s="150"/>
      <c r="AQ5" s="97" t="s">
        <v>59</v>
      </c>
      <c r="AR5" s="130" t="s">
        <v>70</v>
      </c>
      <c r="AS5" s="130"/>
      <c r="AT5" s="107" t="s">
        <v>59</v>
      </c>
      <c r="AU5" s="131" t="s">
        <v>70</v>
      </c>
      <c r="AV5" s="131"/>
      <c r="AW5" s="108" t="s">
        <v>59</v>
      </c>
      <c r="AX5" s="121" t="s">
        <v>70</v>
      </c>
      <c r="AY5" s="121"/>
      <c r="AZ5" s="111" t="s">
        <v>59</v>
      </c>
    </row>
    <row r="6" spans="1:52">
      <c r="A6" s="5" t="s">
        <v>71</v>
      </c>
      <c r="B6" s="5" t="s">
        <v>72</v>
      </c>
      <c r="C6" s="49"/>
      <c r="D6" s="50"/>
      <c r="E6" s="25"/>
      <c r="F6" s="25"/>
      <c r="G6" s="39">
        <f>IF(AND($C6="",$D6=""),0,IF(AND($C6&gt;$D6,E6&gt;F6),'Tabla general'!$L$4,IF(AND($D6&gt;$C6,F6&gt;E6),'Tabla general'!$L$4,IF(AND($C6=$D6,E6=F6),'Tabla general'!$L$4,0))) + IF(AND($C6=E6,$D6=F6),'Tabla general'!$L$5,0))</f>
        <v>0</v>
      </c>
      <c r="H6" s="25"/>
      <c r="I6" s="25"/>
      <c r="J6" s="26">
        <f>IF(AND($C6="",$D6=""),0,IF(AND($C6&gt;$D6,H6&gt;I6),'Tabla general'!$L$4,IF(AND($D6&gt;$C6,I6&gt;H6),'Tabla general'!$L$4,IF(AND($C6=$D6,H6=I6),'Tabla general'!$L$4,0))) + IF(AND($C6=H6,$D6=I6),'Tabla general'!$L$5,0))</f>
        <v>0</v>
      </c>
      <c r="K6" s="25"/>
      <c r="L6" s="25"/>
      <c r="M6" s="27">
        <f>IF(AND($C6="",$D6=""),0,IF(AND($C6&gt;$D6,K6&gt;L6),'Tabla general'!$L$4,IF(AND($D6&gt;$C6,L6&gt;K6),'Tabla general'!$L$4,IF(AND($C6=$D6,K6=L6),'Tabla general'!$L$4,0))) + IF(AND($C6=K6,$D6=L6),'Tabla general'!$L$5,0))</f>
        <v>0</v>
      </c>
      <c r="N6" s="25"/>
      <c r="O6" s="25"/>
      <c r="P6" s="28">
        <f>IF(AND($C6="",$D6=""),0,IF(AND($C6&gt;$D6,N6&gt;O6),'Tabla general'!$L$4,IF(AND($D6&gt;$C6,O6&gt;N6),'Tabla general'!$L$4,IF(AND($C6=$D6,N6=O6),'Tabla general'!$L$4,0))) + IF(AND($C6=N6,$D6=O6),'Tabla general'!$L$5,0))</f>
        <v>0</v>
      </c>
      <c r="Q6" s="25"/>
      <c r="R6" s="25"/>
      <c r="S6" s="29">
        <f>IF(AND($C6="",$D6=""),0,IF(AND($C6&gt;$D6,Q6&gt;R6),'Tabla general'!$L$4,IF(AND($D6&gt;$C6,R6&gt;Q6),'Tabla general'!$L$4,IF(AND($C6=$D6,Q6=R6),'Tabla general'!$L$4,0))) + IF(AND($C6=Q6,$D6=R6),'Tabla general'!$L$5,0))</f>
        <v>0</v>
      </c>
      <c r="T6" s="25"/>
      <c r="U6" s="25"/>
      <c r="V6" s="30">
        <f>IF(AND($C6="",$D6=""),0,IF(AND($C6&gt;$D6,T6&gt;U6),'Tabla general'!$L$4,IF(AND($D6&gt;$C6,U6&gt;T6),'Tabla general'!$L$4,IF(AND($C6=$D6,T6=U6),'Tabla general'!$L$4,0))) + IF(AND($C6=T6,$D6=U6),'Tabla general'!$L$5,0))</f>
        <v>0</v>
      </c>
      <c r="W6" s="25"/>
      <c r="X6" s="25"/>
      <c r="Y6" s="31">
        <f>IF(AND($C6="",$D6=""),0,IF(AND($C6&gt;$D6,W6&gt;X6),'Tabla general'!$L$4,IF(AND($D6&gt;$C6,X6&gt;W6),'Tabla general'!$L$4,IF(AND($C6=$D6,W6=X6),'Tabla general'!$L$4,0))) + IF(AND($C6=W6,$D6=X6),'Tabla general'!$L$5,0))</f>
        <v>0</v>
      </c>
      <c r="Z6" s="25"/>
      <c r="AA6" s="25"/>
      <c r="AB6" s="32">
        <f>IF(AND($C6="",$D6=""),0,IF(AND($C6&gt;$D6,Z6&gt;AA6),'Tabla general'!$L$4,IF(AND($D6&gt;$C6,AA6&gt;Z6),'Tabla general'!$L$4,IF(AND($C6=$D6,Z6=AA6),'Tabla general'!$L$4,0))) + IF(AND($C6=Z6,$D6=AA6),'Tabla general'!$L$5,0))</f>
        <v>0</v>
      </c>
      <c r="AC6" s="25"/>
      <c r="AD6" s="25"/>
      <c r="AE6" s="33">
        <f>IF(AND($C6="",$D6=""),0,IF(AND($C6&gt;$D6,AC6&gt;AD6),'Tabla general'!$L$4,IF(AND($D6&gt;$C6,AD6&gt;AC6),'Tabla general'!$L$4,IF(AND($C6=$D6,AC6=AD6),'Tabla general'!$L$4,0))) + IF(AND($C6=AC6,$D6=AD6),'Tabla general'!$L$5,0))</f>
        <v>0</v>
      </c>
      <c r="AF6" s="25"/>
      <c r="AG6" s="25"/>
      <c r="AH6" s="34">
        <f>IF(AND($C6="",$D6=""),0,IF(AND($C6&gt;$D6,AF6&gt;AG6),'Tabla general'!$L$4,IF(AND($D6&gt;$C6,AG6&gt;AF6),'Tabla general'!$L$4,IF(AND($C6=$D6,AF6=AG6),'Tabla general'!$L$4,0))) + IF(AND($C6=AF6,$D6=AG6),'Tabla general'!$L$5,0))</f>
        <v>0</v>
      </c>
      <c r="AI6" s="25"/>
      <c r="AJ6" s="25"/>
      <c r="AK6" s="35">
        <f>IF(AND($C6="",$D6=""),0,IF(AND($C6&gt;$D6,AI6&gt;AJ6),'Tabla general'!$L$4,IF(AND($D6&gt;$C6,AJ6&gt;AI6),'Tabla general'!$L$4,IF(AND($C6=$D6,AI6=AJ6),'Tabla general'!$L$4,0))) + IF(AND($C6=AI6,$D6=AJ6),'Tabla general'!$L$5,0))</f>
        <v>0</v>
      </c>
      <c r="AL6" s="25"/>
      <c r="AM6" s="25"/>
      <c r="AN6" s="36">
        <f>IF(AND($C6="",$D6=""),0,IF(AND($C6&gt;$D6,AL6&gt;AM6),'Tabla general'!$L$4,IF(AND($D6&gt;$C6,AM6&gt;AL6),'Tabla general'!$L$4,IF(AND($C6=$D6,AL6=AM6),'Tabla general'!$L$4,0))) + IF(AND($C6=AL6,$D6=AM6),'Tabla general'!$L$5,0))</f>
        <v>0</v>
      </c>
      <c r="AO6" s="25"/>
      <c r="AP6" s="25"/>
      <c r="AQ6" s="37">
        <f>IF(AND($C6="",$D6=""),0,IF(AND($C6&gt;$D6,AO6&gt;AP6),'Tabla general'!$L$4,IF(AND($D6&gt;$C6,AP6&gt;AO6),'Tabla general'!$L$4,IF(AND($C6=$D6,AO6=AP6),'Tabla general'!$L$4,0))) + IF(AND($C6=AO6,$D6=AP6),'Tabla general'!$L$5,0))</f>
        <v>0</v>
      </c>
      <c r="AR6" s="25"/>
      <c r="AS6" s="25"/>
      <c r="AT6" s="34">
        <f>IF(AND($C6="",$D6=""),0,IF(AND($C6&gt;$D6,AR6&gt;AS6),'Tabla general'!$L$4,IF(AND($D6&gt;$C6,AS6&gt;AR6),'Tabla general'!$L$4,IF(AND($C6=$D6,AR6=AS6),'Tabla general'!$L$4,0))) + IF(AND($C6=AR6,$D6=AS6),'Tabla general'!$L$5,0))</f>
        <v>0</v>
      </c>
      <c r="AU6" s="25"/>
      <c r="AV6" s="25"/>
      <c r="AW6" s="35">
        <f>IF(AND($C6="",$D6=""),0,IF(AND($C6&gt;$D6,AU6&gt;AV6),'Tabla general'!$L$4,IF(AND($D6&gt;$C6,AV6&gt;AU6),'Tabla general'!$L$4,IF(AND($C6=$D6,AU6=AV6),'Tabla general'!$L$4,0))) + IF(AND($C6=AU6,$D6=AV6),'Tabla general'!$L$5,0))</f>
        <v>0</v>
      </c>
      <c r="AX6" s="47"/>
      <c r="AY6" s="46"/>
      <c r="AZ6" s="35">
        <f>IF(AND($C6="",$D6=""),0,IF(AND($C6&gt;$D6,AX6&gt;AY6),'Tabla general'!$L$4,IF(AND($D6&gt;$C6,AY6&gt;AX6),'Tabla general'!$L$4,IF(AND($C6=$D6,AX6=AY6),'Tabla general'!$L$4,0))) + IF(AND($C6=AX6,$D6=AY6),'Tabla general'!$L$5,0))</f>
        <v>0</v>
      </c>
    </row>
    <row r="7" spans="1:52">
      <c r="A7" s="2" t="s">
        <v>73</v>
      </c>
      <c r="B7" s="2" t="s">
        <v>74</v>
      </c>
      <c r="C7" s="49"/>
      <c r="D7" s="50"/>
      <c r="E7" s="38"/>
      <c r="F7" s="38"/>
      <c r="G7" s="39">
        <f>IF(AND($C7="",$D7=""),0,IF(AND($C7&gt;$D7,E7&gt;F7),'Tabla general'!$L$4,IF(AND($D7&gt;$C7,F7&gt;E7),'Tabla general'!$L$4,IF(AND($C7=$D7,E7=F7),'Tabla general'!$L$4,0))) + IF(AND($C7=E7,$D7=F7),'Tabla general'!$L$5,0))</f>
        <v>0</v>
      </c>
      <c r="H7" s="38"/>
      <c r="I7" s="38"/>
      <c r="J7" s="26">
        <f>IF(AND($C7="",$D7=""),0,IF(AND($C7&gt;$D7,H7&gt;I7),'Tabla general'!$L$4,IF(AND($D7&gt;$C7,I7&gt;H7),'Tabla general'!$L$4,IF(AND($C7=$D7,H7=I7),'Tabla general'!$L$4,0))) + IF(AND($C7=H7,$D7=I7),'Tabla general'!$L$5,0))</f>
        <v>0</v>
      </c>
      <c r="K7" s="38"/>
      <c r="L7" s="38"/>
      <c r="M7" s="27">
        <f>IF(AND($C7="",$D7=""),0,IF(AND($C7&gt;$D7,K7&gt;L7),'Tabla general'!$L$4,IF(AND($D7&gt;$C7,L7&gt;K7),'Tabla general'!$L$4,IF(AND($C7=$D7,K7=L7),'Tabla general'!$L$4,0))) + IF(AND($C7=K7,$D7=L7),'Tabla general'!$L$5,0))</f>
        <v>0</v>
      </c>
      <c r="N7" s="38"/>
      <c r="O7" s="38"/>
      <c r="P7" s="28">
        <f>IF(AND($C7="",$D7=""),0,IF(AND($C7&gt;$D7,N7&gt;O7),'Tabla general'!$L$4,IF(AND($D7&gt;$C7,O7&gt;N7),'Tabla general'!$L$4,IF(AND($C7=$D7,N7=O7),'Tabla general'!$L$4,0))) + IF(AND($C7=N7,$D7=O7),'Tabla general'!$L$5,0))</f>
        <v>0</v>
      </c>
      <c r="Q7" s="38"/>
      <c r="R7" s="38"/>
      <c r="S7" s="29">
        <f>IF(AND($C7="",$D7=""),0,IF(AND($C7&gt;$D7,Q7&gt;R7),'Tabla general'!$L$4,IF(AND($D7&gt;$C7,R7&gt;Q7),'Tabla general'!$L$4,IF(AND($C7=$D7,Q7=R7),'Tabla general'!$L$4,0))) + IF(AND($C7=Q7,$D7=R7),'Tabla general'!$L$5,0))</f>
        <v>0</v>
      </c>
      <c r="T7" s="38"/>
      <c r="U7" s="38"/>
      <c r="V7" s="30">
        <f>IF(AND($C7="",$D7=""),0,IF(AND($C7&gt;$D7,T7&gt;U7),'Tabla general'!$L$4,IF(AND($D7&gt;$C7,U7&gt;T7),'Tabla general'!$L$4,IF(AND($C7=$D7,T7=U7),'Tabla general'!$L$4,0))) + IF(AND($C7=T7,$D7=U7),'Tabla general'!$L$5,0))</f>
        <v>0</v>
      </c>
      <c r="W7" s="38"/>
      <c r="X7" s="38"/>
      <c r="Y7" s="31">
        <f>IF(AND($C7="",$D7=""),0,IF(AND($C7&gt;$D7,W7&gt;X7),'Tabla general'!$L$4,IF(AND($D7&gt;$C7,X7&gt;W7),'Tabla general'!$L$4,IF(AND($C7=$D7,W7=X7),'Tabla general'!$L$4,0))) + IF(AND($C7=W7,$D7=X7),'Tabla general'!$L$5,0))</f>
        <v>0</v>
      </c>
      <c r="Z7" s="38"/>
      <c r="AA7" s="38"/>
      <c r="AB7" s="32">
        <f>IF(AND($C7="",$D7=""),0,IF(AND($C7&gt;$D7,Z7&gt;AA7),'Tabla general'!$L$4,IF(AND($D7&gt;$C7,AA7&gt;Z7),'Tabla general'!$L$4,IF(AND($C7=$D7,Z7=AA7),'Tabla general'!$L$4,0))) + IF(AND($C7=Z7,$D7=AA7),'Tabla general'!$L$5,0))</f>
        <v>0</v>
      </c>
      <c r="AC7" s="38"/>
      <c r="AD7" s="38"/>
      <c r="AE7" s="33">
        <f>IF(AND($C7="",$D7=""),0,IF(AND($C7&gt;$D7,AC7&gt;AD7),'Tabla general'!$L$4,IF(AND($D7&gt;$C7,AD7&gt;AC7),'Tabla general'!$L$4,IF(AND($C7=$D7,AC7=AD7),'Tabla general'!$L$4,0))) + IF(AND($C7=AC7,$D7=AD7),'Tabla general'!$L$5,0))</f>
        <v>0</v>
      </c>
      <c r="AF7" s="38"/>
      <c r="AG7" s="38"/>
      <c r="AH7" s="34">
        <f>IF(AND($C7="",$D7=""),0,IF(AND($C7&gt;$D7,AF7&gt;AG7),'Tabla general'!$L$4,IF(AND($D7&gt;$C7,AG7&gt;AF7),'Tabla general'!$L$4,IF(AND($C7=$D7,AF7=AG7),'Tabla general'!$L$4,0))) + IF(AND($C7=AF7,$D7=AG7),'Tabla general'!$L$5,0))</f>
        <v>0</v>
      </c>
      <c r="AI7" s="38"/>
      <c r="AJ7" s="38"/>
      <c r="AK7" s="35">
        <f>IF(AND($C7="",$D7=""),0,IF(AND($C7&gt;$D7,AI7&gt;AJ7),'Tabla general'!$L$4,IF(AND($D7&gt;$C7,AJ7&gt;AI7),'Tabla general'!$L$4,IF(AND($C7=$D7,AI7=AJ7),'Tabla general'!$L$4,0))) + IF(AND($C7=AI7,$D7=AJ7),'Tabla general'!$L$5,0))</f>
        <v>0</v>
      </c>
      <c r="AL7" s="38"/>
      <c r="AM7" s="38"/>
      <c r="AN7" s="36">
        <f>IF(AND($C7="",$D7=""),0,IF(AND($C7&gt;$D7,AL7&gt;AM7),'Tabla general'!$L$4,IF(AND($D7&gt;$C7,AM7&gt;AL7),'Tabla general'!$L$4,IF(AND($C7=$D7,AL7=AM7),'Tabla general'!$L$4,0))) + IF(AND($C7=AL7,$D7=AM7),'Tabla general'!$L$5,0))</f>
        <v>0</v>
      </c>
      <c r="AO7" s="38"/>
      <c r="AP7" s="38"/>
      <c r="AQ7" s="37">
        <f>IF(AND($C7="",$D7=""),0,IF(AND($C7&gt;$D7,AO7&gt;AP7),'Tabla general'!$L$4,IF(AND($D7&gt;$C7,AP7&gt;AO7),'Tabla general'!$L$4,IF(AND($C7=$D7,AO7=AP7),'Tabla general'!$L$4,0))) + IF(AND($C7=AO7,$D7=AP7),'Tabla general'!$L$5,0))</f>
        <v>0</v>
      </c>
      <c r="AR7" s="38"/>
      <c r="AS7" s="38"/>
      <c r="AT7" s="34">
        <f>IF(AND($C7="",$D7=""),0,IF(AND($C7&gt;$D7,AR7&gt;AS7),'Tabla general'!$L$4,IF(AND($D7&gt;$C7,AS7&gt;AR7),'Tabla general'!$L$4,IF(AND($C7=$D7,AR7=AS7),'Tabla general'!$L$4,0))) + IF(AND($C7=AR7,$D7=AS7),'Tabla general'!$L$5,0))</f>
        <v>0</v>
      </c>
      <c r="AU7" s="38"/>
      <c r="AV7" s="38"/>
      <c r="AW7" s="35">
        <f>IF(AND($C7="",$D7=""),0,IF(AND($C7&gt;$D7,AU7&gt;AV7),'Tabla general'!$L$4,IF(AND($D7&gt;$C7,AV7&gt;AU7),'Tabla general'!$L$4,IF(AND($C7=$D7,AU7=AV7),'Tabla general'!$L$4,0))) + IF(AND($C7=AU7,$D7=AV7),'Tabla general'!$L$5,0))</f>
        <v>0</v>
      </c>
      <c r="AX7" s="48"/>
      <c r="AY7" s="46"/>
      <c r="AZ7" s="35">
        <f>IF(AND($C7="",$D7=""),0,IF(AND($C7&gt;$D7,AX7&gt;AY7),'Tabla general'!$L$4,IF(AND($D7&gt;$C7,AY7&gt;AX7),'Tabla general'!$L$4,IF(AND($C7=$D7,AX7=AY7),'Tabla general'!$L$4,0))) + IF(AND($C7=AX7,$D7=AY7),'Tabla general'!$L$5,0))</f>
        <v>0</v>
      </c>
    </row>
    <row r="8" spans="1:52">
      <c r="A8" s="2" t="s">
        <v>75</v>
      </c>
      <c r="B8" s="2" t="s">
        <v>76</v>
      </c>
      <c r="C8" s="49"/>
      <c r="D8" s="50"/>
      <c r="E8" s="38"/>
      <c r="F8" s="38"/>
      <c r="G8" s="39">
        <f>IF(AND($C8="",$D8=""),0,IF(AND($C8&gt;$D8,E8&gt;F8),'Tabla general'!$L$4,IF(AND($D8&gt;$C8,F8&gt;E8),'Tabla general'!$L$4,IF(AND($C8=$D8,E8=F8),'Tabla general'!$L$4,0))) + IF(AND($C8=E8,$D8=F8),'Tabla general'!$L$5,0))</f>
        <v>0</v>
      </c>
      <c r="H8" s="38"/>
      <c r="I8" s="38"/>
      <c r="J8" s="26">
        <f>IF(AND($C8="",$D8=""),0,IF(AND($C8&gt;$D8,H8&gt;I8),'Tabla general'!$L$4,IF(AND($D8&gt;$C8,I8&gt;H8),'Tabla general'!$L$4,IF(AND($C8=$D8,H8=I8),'Tabla general'!$L$4,0))) + IF(AND($C8=H8,$D8=I8),'Tabla general'!$L$5,0))</f>
        <v>0</v>
      </c>
      <c r="K8" s="38"/>
      <c r="L8" s="38"/>
      <c r="M8" s="27">
        <f>IF(AND($C8="",$D8=""),0,IF(AND($C8&gt;$D8,K8&gt;L8),'Tabla general'!$L$4,IF(AND($D8&gt;$C8,L8&gt;K8),'Tabla general'!$L$4,IF(AND($C8=$D8,K8=L8),'Tabla general'!$L$4,0))) + IF(AND($C8=K8,$D8=L8),'Tabla general'!$L$5,0))</f>
        <v>0</v>
      </c>
      <c r="N8" s="38"/>
      <c r="O8" s="38"/>
      <c r="P8" s="28">
        <f>IF(AND($C8="",$D8=""),0,IF(AND($C8&gt;$D8,N8&gt;O8),'Tabla general'!$L$4,IF(AND($D8&gt;$C8,O8&gt;N8),'Tabla general'!$L$4,IF(AND($C8=$D8,N8=O8),'Tabla general'!$L$4,0))) + IF(AND($C8=N8,$D8=O8),'Tabla general'!$L$5,0))</f>
        <v>0</v>
      </c>
      <c r="Q8" s="38"/>
      <c r="R8" s="38"/>
      <c r="S8" s="29">
        <f>IF(AND($C8="",$D8=""),0,IF(AND($C8&gt;$D8,Q8&gt;R8),'Tabla general'!$L$4,IF(AND($D8&gt;$C8,R8&gt;Q8),'Tabla general'!$L$4,IF(AND($C8=$D8,Q8=R8),'Tabla general'!$L$4,0))) + IF(AND($C8=Q8,$D8=R8),'Tabla general'!$L$5,0))</f>
        <v>0</v>
      </c>
      <c r="T8" s="38"/>
      <c r="U8" s="38"/>
      <c r="V8" s="30">
        <f>IF(AND($C8="",$D8=""),0,IF(AND($C8&gt;$D8,T8&gt;U8),'Tabla general'!$L$4,IF(AND($D8&gt;$C8,U8&gt;T8),'Tabla general'!$L$4,IF(AND($C8=$D8,T8=U8),'Tabla general'!$L$4,0))) + IF(AND($C8=T8,$D8=U8),'Tabla general'!$L$5,0))</f>
        <v>0</v>
      </c>
      <c r="W8" s="38"/>
      <c r="X8" s="38"/>
      <c r="Y8" s="31">
        <f>IF(AND($C8="",$D8=""),0,IF(AND($C8&gt;$D8,W8&gt;X8),'Tabla general'!$L$4,IF(AND($D8&gt;$C8,X8&gt;W8),'Tabla general'!$L$4,IF(AND($C8=$D8,W8=X8),'Tabla general'!$L$4,0))) + IF(AND($C8=W8,$D8=X8),'Tabla general'!$L$5,0))</f>
        <v>0</v>
      </c>
      <c r="Z8" s="38"/>
      <c r="AA8" s="38"/>
      <c r="AB8" s="32">
        <f>IF(AND($C8="",$D8=""),0,IF(AND($C8&gt;$D8,Z8&gt;AA8),'Tabla general'!$L$4,IF(AND($D8&gt;$C8,AA8&gt;Z8),'Tabla general'!$L$4,IF(AND($C8=$D8,Z8=AA8),'Tabla general'!$L$4,0))) + IF(AND($C8=Z8,$D8=AA8),'Tabla general'!$L$5,0))</f>
        <v>0</v>
      </c>
      <c r="AC8" s="38"/>
      <c r="AD8" s="38"/>
      <c r="AE8" s="33">
        <f>IF(AND($C8="",$D8=""),0,IF(AND($C8&gt;$D8,AC8&gt;AD8),'Tabla general'!$L$4,IF(AND($D8&gt;$C8,AD8&gt;AC8),'Tabla general'!$L$4,IF(AND($C8=$D8,AC8=AD8),'Tabla general'!$L$4,0))) + IF(AND($C8=AC8,$D8=AD8),'Tabla general'!$L$5,0))</f>
        <v>0</v>
      </c>
      <c r="AF8" s="38"/>
      <c r="AG8" s="38"/>
      <c r="AH8" s="34">
        <f>IF(AND($C8="",$D8=""),0,IF(AND($C8&gt;$D8,AF8&gt;AG8),'Tabla general'!$L$4,IF(AND($D8&gt;$C8,AG8&gt;AF8),'Tabla general'!$L$4,IF(AND($C8=$D8,AF8=AG8),'Tabla general'!$L$4,0))) + IF(AND($C8=AF8,$D8=AG8),'Tabla general'!$L$5,0))</f>
        <v>0</v>
      </c>
      <c r="AI8" s="38"/>
      <c r="AJ8" s="38"/>
      <c r="AK8" s="35">
        <f>IF(AND($C8="",$D8=""),0,IF(AND($C8&gt;$D8,AI8&gt;AJ8),'Tabla general'!$L$4,IF(AND($D8&gt;$C8,AJ8&gt;AI8),'Tabla general'!$L$4,IF(AND($C8=$D8,AI8=AJ8),'Tabla general'!$L$4,0))) + IF(AND($C8=AI8,$D8=AJ8),'Tabla general'!$L$5,0))</f>
        <v>0</v>
      </c>
      <c r="AL8" s="38"/>
      <c r="AM8" s="38"/>
      <c r="AN8" s="36">
        <f>IF(AND($C8="",$D8=""),0,IF(AND($C8&gt;$D8,AL8&gt;AM8),'Tabla general'!$L$4,IF(AND($D8&gt;$C8,AM8&gt;AL8),'Tabla general'!$L$4,IF(AND($C8=$D8,AL8=AM8),'Tabla general'!$L$4,0))) + IF(AND($C8=AL8,$D8=AM8),'Tabla general'!$L$5,0))</f>
        <v>0</v>
      </c>
      <c r="AO8" s="38"/>
      <c r="AP8" s="38"/>
      <c r="AQ8" s="37">
        <f>IF(AND($C8="",$D8=""),0,IF(AND($C8&gt;$D8,AO8&gt;AP8),'Tabla general'!$L$4,IF(AND($D8&gt;$C8,AP8&gt;AO8),'Tabla general'!$L$4,IF(AND($C8=$D8,AO8=AP8),'Tabla general'!$L$4,0))) + IF(AND($C8=AO8,$D8=AP8),'Tabla general'!$L$5,0))</f>
        <v>0</v>
      </c>
      <c r="AR8" s="38"/>
      <c r="AS8" s="38"/>
      <c r="AT8" s="34">
        <f>IF(AND($C8="",$D8=""),0,IF(AND($C8&gt;$D8,AR8&gt;AS8),'Tabla general'!$L$4,IF(AND($D8&gt;$C8,AS8&gt;AR8),'Tabla general'!$L$4,IF(AND($C8=$D8,AR8=AS8),'Tabla general'!$L$4,0))) + IF(AND($C8=AR8,$D8=AS8),'Tabla general'!$L$5,0))</f>
        <v>0</v>
      </c>
      <c r="AU8" s="38"/>
      <c r="AV8" s="38"/>
      <c r="AW8" s="35">
        <f>IF(AND($C8="",$D8=""),0,IF(AND($C8&gt;$D8,AU8&gt;AV8),'Tabla general'!$L$4,IF(AND($D8&gt;$C8,AV8&gt;AU8),'Tabla general'!$L$4,IF(AND($C8=$D8,AU8=AV8),'Tabla general'!$L$4,0))) + IF(AND($C8=AU8,$D8=AV8),'Tabla general'!$L$5,0))</f>
        <v>0</v>
      </c>
      <c r="AX8" s="48"/>
      <c r="AY8" s="46"/>
      <c r="AZ8" s="35">
        <f>IF(AND($C8="",$D8=""),0,IF(AND($C8&gt;$D8,AX8&gt;AY8),'Tabla general'!$L$4,IF(AND($D8&gt;$C8,AY8&gt;AX8),'Tabla general'!$L$4,IF(AND($C8=$D8,AX8=AY8),'Tabla general'!$L$4,0))) + IF(AND($C8=AX8,$D8=AY8),'Tabla general'!$L$5,0))</f>
        <v>0</v>
      </c>
    </row>
    <row r="9" spans="1:52">
      <c r="A9" s="2" t="s">
        <v>77</v>
      </c>
      <c r="B9" s="2" t="s">
        <v>78</v>
      </c>
      <c r="C9" s="49"/>
      <c r="D9" s="50"/>
      <c r="E9" s="38"/>
      <c r="F9" s="38"/>
      <c r="G9" s="39">
        <f>IF(AND($C9="",$D9=""),0,IF(AND($C9&gt;$D9,E9&gt;F9),'Tabla general'!$L$4,IF(AND($D9&gt;$C9,F9&gt;E9),'Tabla general'!$L$4,IF(AND($C9=$D9,E9=F9),'Tabla general'!$L$4,0))) + IF(AND($C9=E9,$D9=F9),'Tabla general'!$L$5,0))</f>
        <v>0</v>
      </c>
      <c r="H9" s="38"/>
      <c r="I9" s="38"/>
      <c r="J9" s="26">
        <f>IF(AND($C9="",$D9=""),0,IF(AND($C9&gt;$D9,H9&gt;I9),'Tabla general'!$L$4,IF(AND($D9&gt;$C9,I9&gt;H9),'Tabla general'!$L$4,IF(AND($C9=$D9,H9=I9),'Tabla general'!$L$4,0))) + IF(AND($C9=H9,$D9=I9),'Tabla general'!$L$5,0))</f>
        <v>0</v>
      </c>
      <c r="K9" s="38"/>
      <c r="L9" s="38"/>
      <c r="M9" s="27">
        <f>IF(AND($C9="",$D9=""),0,IF(AND($C9&gt;$D9,K9&gt;L9),'Tabla general'!$L$4,IF(AND($D9&gt;$C9,L9&gt;K9),'Tabla general'!$L$4,IF(AND($C9=$D9,K9=L9),'Tabla general'!$L$4,0))) + IF(AND($C9=K9,$D9=L9),'Tabla general'!$L$5,0))</f>
        <v>0</v>
      </c>
      <c r="N9" s="38"/>
      <c r="O9" s="38"/>
      <c r="P9" s="28">
        <f>IF(AND($C9="",$D9=""),0,IF(AND($C9&gt;$D9,N9&gt;O9),'Tabla general'!$L$4,IF(AND($D9&gt;$C9,O9&gt;N9),'Tabla general'!$L$4,IF(AND($C9=$D9,N9=O9),'Tabla general'!$L$4,0))) + IF(AND($C9=N9,$D9=O9),'Tabla general'!$L$5,0))</f>
        <v>0</v>
      </c>
      <c r="Q9" s="38"/>
      <c r="R9" s="38"/>
      <c r="S9" s="29">
        <f>IF(AND($C9="",$D9=""),0,IF(AND($C9&gt;$D9,Q9&gt;R9),'Tabla general'!$L$4,IF(AND($D9&gt;$C9,R9&gt;Q9),'Tabla general'!$L$4,IF(AND($C9=$D9,Q9=R9),'Tabla general'!$L$4,0))) + IF(AND($C9=Q9,$D9=R9),'Tabla general'!$L$5,0))</f>
        <v>0</v>
      </c>
      <c r="T9" s="38"/>
      <c r="U9" s="38"/>
      <c r="V9" s="30">
        <f>IF(AND($C9="",$D9=""),0,IF(AND($C9&gt;$D9,T9&gt;U9),'Tabla general'!$L$4,IF(AND($D9&gt;$C9,U9&gt;T9),'Tabla general'!$L$4,IF(AND($C9=$D9,T9=U9),'Tabla general'!$L$4,0))) + IF(AND($C9=T9,$D9=U9),'Tabla general'!$L$5,0))</f>
        <v>0</v>
      </c>
      <c r="W9" s="38"/>
      <c r="X9" s="38"/>
      <c r="Y9" s="31">
        <f>IF(AND($C9="",$D9=""),0,IF(AND($C9&gt;$D9,W9&gt;X9),'Tabla general'!$L$4,IF(AND($D9&gt;$C9,X9&gt;W9),'Tabla general'!$L$4,IF(AND($C9=$D9,W9=X9),'Tabla general'!$L$4,0))) + IF(AND($C9=W9,$D9=X9),'Tabla general'!$L$5,0))</f>
        <v>0</v>
      </c>
      <c r="Z9" s="38"/>
      <c r="AA9" s="38"/>
      <c r="AB9" s="32">
        <f>IF(AND($C9="",$D9=""),0,IF(AND($C9&gt;$D9,Z9&gt;AA9),'Tabla general'!$L$4,IF(AND($D9&gt;$C9,AA9&gt;Z9),'Tabla general'!$L$4,IF(AND($C9=$D9,Z9=AA9),'Tabla general'!$L$4,0))) + IF(AND($C9=Z9,$D9=AA9),'Tabla general'!$L$5,0))</f>
        <v>0</v>
      </c>
      <c r="AC9" s="38"/>
      <c r="AD9" s="38"/>
      <c r="AE9" s="33">
        <f>IF(AND($C9="",$D9=""),0,IF(AND($C9&gt;$D9,AC9&gt;AD9),'Tabla general'!$L$4,IF(AND($D9&gt;$C9,AD9&gt;AC9),'Tabla general'!$L$4,IF(AND($C9=$D9,AC9=AD9),'Tabla general'!$L$4,0))) + IF(AND($C9=AC9,$D9=AD9),'Tabla general'!$L$5,0))</f>
        <v>0</v>
      </c>
      <c r="AF9" s="38"/>
      <c r="AG9" s="38"/>
      <c r="AH9" s="34">
        <f>IF(AND($C9="",$D9=""),0,IF(AND($C9&gt;$D9,AF9&gt;AG9),'Tabla general'!$L$4,IF(AND($D9&gt;$C9,AG9&gt;AF9),'Tabla general'!$L$4,IF(AND($C9=$D9,AF9=AG9),'Tabla general'!$L$4,0))) + IF(AND($C9=AF9,$D9=AG9),'Tabla general'!$L$5,0))</f>
        <v>0</v>
      </c>
      <c r="AI9" s="38"/>
      <c r="AJ9" s="38"/>
      <c r="AK9" s="35">
        <f>IF(AND($C9="",$D9=""),0,IF(AND($C9&gt;$D9,AI9&gt;AJ9),'Tabla general'!$L$4,IF(AND($D9&gt;$C9,AJ9&gt;AI9),'Tabla general'!$L$4,IF(AND($C9=$D9,AI9=AJ9),'Tabla general'!$L$4,0))) + IF(AND($C9=AI9,$D9=AJ9),'Tabla general'!$L$5,0))</f>
        <v>0</v>
      </c>
      <c r="AL9" s="38"/>
      <c r="AM9" s="38"/>
      <c r="AN9" s="36">
        <f>IF(AND($C9="",$D9=""),0,IF(AND($C9&gt;$D9,AL9&gt;AM9),'Tabla general'!$L$4,IF(AND($D9&gt;$C9,AM9&gt;AL9),'Tabla general'!$L$4,IF(AND($C9=$D9,AL9=AM9),'Tabla general'!$L$4,0))) + IF(AND($C9=AL9,$D9=AM9),'Tabla general'!$L$5,0))</f>
        <v>0</v>
      </c>
      <c r="AO9" s="38"/>
      <c r="AP9" s="38"/>
      <c r="AQ9" s="37">
        <f>IF(AND($C9="",$D9=""),0,IF(AND($C9&gt;$D9,AO9&gt;AP9),'Tabla general'!$L$4,IF(AND($D9&gt;$C9,AP9&gt;AO9),'Tabla general'!$L$4,IF(AND($C9=$D9,AO9=AP9),'Tabla general'!$L$4,0))) + IF(AND($C9=AO9,$D9=AP9),'Tabla general'!$L$5,0))</f>
        <v>0</v>
      </c>
      <c r="AR9" s="38"/>
      <c r="AS9" s="38"/>
      <c r="AT9" s="34">
        <f>IF(AND($C9="",$D9=""),0,IF(AND($C9&gt;$D9,AR9&gt;AS9),'Tabla general'!$L$4,IF(AND($D9&gt;$C9,AS9&gt;AR9),'Tabla general'!$L$4,IF(AND($C9=$D9,AR9=AS9),'Tabla general'!$L$4,0))) + IF(AND($C9=AR9,$D9=AS9),'Tabla general'!$L$5,0))</f>
        <v>0</v>
      </c>
      <c r="AU9" s="38"/>
      <c r="AV9" s="38"/>
      <c r="AW9" s="35">
        <f>IF(AND($C9="",$D9=""),0,IF(AND($C9&gt;$D9,AU9&gt;AV9),'Tabla general'!$L$4,IF(AND($D9&gt;$C9,AV9&gt;AU9),'Tabla general'!$L$4,IF(AND($C9=$D9,AU9=AV9),'Tabla general'!$L$4,0))) + IF(AND($C9=AU9,$D9=AV9),'Tabla general'!$L$5,0))</f>
        <v>0</v>
      </c>
      <c r="AX9" s="48"/>
      <c r="AY9" s="46"/>
      <c r="AZ9" s="35">
        <f>IF(AND($C9="",$D9=""),0,IF(AND($C9&gt;$D9,AX9&gt;AY9),'Tabla general'!$L$4,IF(AND($D9&gt;$C9,AY9&gt;AX9),'Tabla general'!$L$4,IF(AND($C9=$D9,AX9=AY9),'Tabla general'!$L$4,0))) + IF(AND($C9=AX9,$D9=AY9),'Tabla general'!$L$5,0))</f>
        <v>0</v>
      </c>
    </row>
    <row r="10" spans="1:52">
      <c r="A10" s="2" t="s">
        <v>79</v>
      </c>
      <c r="B10" s="2" t="s">
        <v>80</v>
      </c>
      <c r="C10" s="49"/>
      <c r="D10" s="50"/>
      <c r="E10" s="38"/>
      <c r="F10" s="38"/>
      <c r="G10" s="39">
        <f>IF(AND($C10="",$D10=""),0,IF(AND($C10&gt;$D10,E10&gt;F10),'Tabla general'!$L$4,IF(AND($D10&gt;$C10,F10&gt;E10),'Tabla general'!$L$4,IF(AND($C10=$D10,E10=F10),'Tabla general'!$L$4,0))) + IF(AND($C10=E10,$D10=F10),'Tabla general'!$L$5,0))</f>
        <v>0</v>
      </c>
      <c r="H10" s="38"/>
      <c r="I10" s="38"/>
      <c r="J10" s="26">
        <f>IF(AND($C10="",$D10=""),0,IF(AND($C10&gt;$D10,H10&gt;I10),'Tabla general'!$L$4,IF(AND($D10&gt;$C10,I10&gt;H10),'Tabla general'!$L$4,IF(AND($C10=$D10,H10=I10),'Tabla general'!$L$4,0))) + IF(AND($C10=H10,$D10=I10),'Tabla general'!$L$5,0))</f>
        <v>0</v>
      </c>
      <c r="K10" s="38"/>
      <c r="L10" s="38"/>
      <c r="M10" s="27">
        <f>IF(AND($C10="",$D10=""),0,IF(AND($C10&gt;$D10,K10&gt;L10),'Tabla general'!$L$4,IF(AND($D10&gt;$C10,L10&gt;K10),'Tabla general'!$L$4,IF(AND($C10=$D10,K10=L10),'Tabla general'!$L$4,0))) + IF(AND($C10=K10,$D10=L10),'Tabla general'!$L$5,0))</f>
        <v>0</v>
      </c>
      <c r="N10" s="38"/>
      <c r="O10" s="38"/>
      <c r="P10" s="28">
        <f>IF(AND($C10="",$D10=""),0,IF(AND($C10&gt;$D10,N10&gt;O10),'Tabla general'!$L$4,IF(AND($D10&gt;$C10,O10&gt;N10),'Tabla general'!$L$4,IF(AND($C10=$D10,N10=O10),'Tabla general'!$L$4,0))) + IF(AND($C10=N10,$D10=O10),'Tabla general'!$L$5,0))</f>
        <v>0</v>
      </c>
      <c r="Q10" s="38"/>
      <c r="R10" s="38"/>
      <c r="S10" s="29">
        <f>IF(AND($C10="",$D10=""),0,IF(AND($C10&gt;$D10,Q10&gt;R10),'Tabla general'!$L$4,IF(AND($D10&gt;$C10,R10&gt;Q10),'Tabla general'!$L$4,IF(AND($C10=$D10,Q10=R10),'Tabla general'!$L$4,0))) + IF(AND($C10=Q10,$D10=R10),'Tabla general'!$L$5,0))</f>
        <v>0</v>
      </c>
      <c r="T10" s="38"/>
      <c r="U10" s="38"/>
      <c r="V10" s="30">
        <f>IF(AND($C10="",$D10=""),0,IF(AND($C10&gt;$D10,T10&gt;U10),'Tabla general'!$L$4,IF(AND($D10&gt;$C10,U10&gt;T10),'Tabla general'!$L$4,IF(AND($C10=$D10,T10=U10),'Tabla general'!$L$4,0))) + IF(AND($C10=T10,$D10=U10),'Tabla general'!$L$5,0))</f>
        <v>0</v>
      </c>
      <c r="W10" s="38"/>
      <c r="X10" s="38"/>
      <c r="Y10" s="31">
        <f>IF(AND($C10="",$D10=""),0,IF(AND($C10&gt;$D10,W10&gt;X10),'Tabla general'!$L$4,IF(AND($D10&gt;$C10,X10&gt;W10),'Tabla general'!$L$4,IF(AND($C10=$D10,W10=X10),'Tabla general'!$L$4,0))) + IF(AND($C10=W10,$D10=X10),'Tabla general'!$L$5,0))</f>
        <v>0</v>
      </c>
      <c r="Z10" s="38"/>
      <c r="AA10" s="38"/>
      <c r="AB10" s="32">
        <f>IF(AND($C10="",$D10=""),0,IF(AND($C10&gt;$D10,Z10&gt;AA10),'Tabla general'!$L$4,IF(AND($D10&gt;$C10,AA10&gt;Z10),'Tabla general'!$L$4,IF(AND($C10=$D10,Z10=AA10),'Tabla general'!$L$4,0))) + IF(AND($C10=Z10,$D10=AA10),'Tabla general'!$L$5,0))</f>
        <v>0</v>
      </c>
      <c r="AC10" s="38"/>
      <c r="AD10" s="38"/>
      <c r="AE10" s="33">
        <f>IF(AND($C10="",$D10=""),0,IF(AND($C10&gt;$D10,AC10&gt;AD10),'Tabla general'!$L$4,IF(AND($D10&gt;$C10,AD10&gt;AC10),'Tabla general'!$L$4,IF(AND($C10=$D10,AC10=AD10),'Tabla general'!$L$4,0))) + IF(AND($C10=AC10,$D10=AD10),'Tabla general'!$L$5,0))</f>
        <v>0</v>
      </c>
      <c r="AF10" s="38"/>
      <c r="AG10" s="38"/>
      <c r="AH10" s="34">
        <f>IF(AND($C10="",$D10=""),0,IF(AND($C10&gt;$D10,AF10&gt;AG10),'Tabla general'!$L$4,IF(AND($D10&gt;$C10,AG10&gt;AF10),'Tabla general'!$L$4,IF(AND($C10=$D10,AF10=AG10),'Tabla general'!$L$4,0))) + IF(AND($C10=AF10,$D10=AG10),'Tabla general'!$L$5,0))</f>
        <v>0</v>
      </c>
      <c r="AI10" s="38"/>
      <c r="AJ10" s="38"/>
      <c r="AK10" s="35">
        <f>IF(AND($C10="",$D10=""),0,IF(AND($C10&gt;$D10,AI10&gt;AJ10),'Tabla general'!$L$4,IF(AND($D10&gt;$C10,AJ10&gt;AI10),'Tabla general'!$L$4,IF(AND($C10=$D10,AI10=AJ10),'Tabla general'!$L$4,0))) + IF(AND($C10=AI10,$D10=AJ10),'Tabla general'!$L$5,0))</f>
        <v>0</v>
      </c>
      <c r="AL10" s="38"/>
      <c r="AM10" s="38"/>
      <c r="AN10" s="36">
        <f>IF(AND($C10="",$D10=""),0,IF(AND($C10&gt;$D10,AL10&gt;AM10),'Tabla general'!$L$4,IF(AND($D10&gt;$C10,AM10&gt;AL10),'Tabla general'!$L$4,IF(AND($C10=$D10,AL10=AM10),'Tabla general'!$L$4,0))) + IF(AND($C10=AL10,$D10=AM10),'Tabla general'!$L$5,0))</f>
        <v>0</v>
      </c>
      <c r="AO10" s="38"/>
      <c r="AP10" s="38"/>
      <c r="AQ10" s="37">
        <f>IF(AND($C10="",$D10=""),0,IF(AND($C10&gt;$D10,AO10&gt;AP10),'Tabla general'!$L$4,IF(AND($D10&gt;$C10,AP10&gt;AO10),'Tabla general'!$L$4,IF(AND($C10=$D10,AO10=AP10),'Tabla general'!$L$4,0))) + IF(AND($C10=AO10,$D10=AP10),'Tabla general'!$L$5,0))</f>
        <v>0</v>
      </c>
      <c r="AR10" s="38"/>
      <c r="AS10" s="38"/>
      <c r="AT10" s="34">
        <f>IF(AND($C10="",$D10=""),0,IF(AND($C10&gt;$D10,AR10&gt;AS10),'Tabla general'!$L$4,IF(AND($D10&gt;$C10,AS10&gt;AR10),'Tabla general'!$L$4,IF(AND($C10=$D10,AR10=AS10),'Tabla general'!$L$4,0))) + IF(AND($C10=AR10,$D10=AS10),'Tabla general'!$L$5,0))</f>
        <v>0</v>
      </c>
      <c r="AU10" s="38"/>
      <c r="AV10" s="38"/>
      <c r="AW10" s="35">
        <f>IF(AND($C10="",$D10=""),0,IF(AND($C10&gt;$D10,AU10&gt;AV10),'Tabla general'!$L$4,IF(AND($D10&gt;$C10,AV10&gt;AU10),'Tabla general'!$L$4,IF(AND($C10=$D10,AU10=AV10),'Tabla general'!$L$4,0))) + IF(AND($C10=AU10,$D10=AV10),'Tabla general'!$L$5,0))</f>
        <v>0</v>
      </c>
      <c r="AX10" s="48"/>
      <c r="AY10" s="46"/>
      <c r="AZ10" s="35">
        <f>IF(AND($C10="",$D10=""),0,IF(AND($C10&gt;$D10,AX10&gt;AY10),'Tabla general'!$L$4,IF(AND($D10&gt;$C10,AY10&gt;AX10),'Tabla general'!$L$4,IF(AND($C10=$D10,AX10=AY10),'Tabla general'!$L$4,0))) + IF(AND($C10=AX10,$D10=AY10),'Tabla general'!$L$5,0))</f>
        <v>0</v>
      </c>
    </row>
    <row r="11" spans="1:52">
      <c r="A11" s="2" t="s">
        <v>81</v>
      </c>
      <c r="B11" s="2" t="s">
        <v>82</v>
      </c>
      <c r="C11" s="49"/>
      <c r="D11" s="50"/>
      <c r="E11" s="38"/>
      <c r="F11" s="38"/>
      <c r="G11" s="39">
        <f>IF(AND($C11="",$D11=""),0,IF(AND($C11&gt;$D11,E11&gt;F11),'Tabla general'!$L$4,IF(AND($D11&gt;$C11,F11&gt;E11),'Tabla general'!$L$4,IF(AND($C11=$D11,E11=F11),'Tabla general'!$L$4,0))) + IF(AND($C11=E11,$D11=F11),'Tabla general'!$L$5,0))</f>
        <v>0</v>
      </c>
      <c r="H11" s="38"/>
      <c r="I11" s="38"/>
      <c r="J11" s="26">
        <f>IF(AND($C11="",$D11=""),0,IF(AND($C11&gt;$D11,H11&gt;I11),'Tabla general'!$L$4,IF(AND($D11&gt;$C11,I11&gt;H11),'Tabla general'!$L$4,IF(AND($C11=$D11,H11=I11),'Tabla general'!$L$4,0))) + IF(AND($C11=H11,$D11=I11),'Tabla general'!$L$5,0))</f>
        <v>0</v>
      </c>
      <c r="K11" s="38"/>
      <c r="L11" s="38"/>
      <c r="M11" s="27">
        <f>IF(AND($C11="",$D11=""),0,IF(AND($C11&gt;$D11,K11&gt;L11),'Tabla general'!$L$4,IF(AND($D11&gt;$C11,L11&gt;K11),'Tabla general'!$L$4,IF(AND($C11=$D11,K11=L11),'Tabla general'!$L$4,0))) + IF(AND($C11=K11,$D11=L11),'Tabla general'!$L$5,0))</f>
        <v>0</v>
      </c>
      <c r="N11" s="38"/>
      <c r="O11" s="38"/>
      <c r="P11" s="28">
        <f>IF(AND($C11="",$D11=""),0,IF(AND($C11&gt;$D11,N11&gt;O11),'Tabla general'!$L$4,IF(AND($D11&gt;$C11,O11&gt;N11),'Tabla general'!$L$4,IF(AND($C11=$D11,N11=O11),'Tabla general'!$L$4,0))) + IF(AND($C11=N11,$D11=O11),'Tabla general'!$L$5,0))</f>
        <v>0</v>
      </c>
      <c r="Q11" s="38"/>
      <c r="R11" s="38"/>
      <c r="S11" s="29">
        <f>IF(AND($C11="",$D11=""),0,IF(AND($C11&gt;$D11,Q11&gt;R11),'Tabla general'!$L$4,IF(AND($D11&gt;$C11,R11&gt;Q11),'Tabla general'!$L$4,IF(AND($C11=$D11,Q11=R11),'Tabla general'!$L$4,0))) + IF(AND($C11=Q11,$D11=R11),'Tabla general'!$L$5,0))</f>
        <v>0</v>
      </c>
      <c r="T11" s="38"/>
      <c r="U11" s="38"/>
      <c r="V11" s="30">
        <f>IF(AND($C11="",$D11=""),0,IF(AND($C11&gt;$D11,T11&gt;U11),'Tabla general'!$L$4,IF(AND($D11&gt;$C11,U11&gt;T11),'Tabla general'!$L$4,IF(AND($C11=$D11,T11=U11),'Tabla general'!$L$4,0))) + IF(AND($C11=T11,$D11=U11),'Tabla general'!$L$5,0))</f>
        <v>0</v>
      </c>
      <c r="W11" s="38"/>
      <c r="X11" s="38"/>
      <c r="Y11" s="31">
        <f>IF(AND($C11="",$D11=""),0,IF(AND($C11&gt;$D11,W11&gt;X11),'Tabla general'!$L$4,IF(AND($D11&gt;$C11,X11&gt;W11),'Tabla general'!$L$4,IF(AND($C11=$D11,W11=X11),'Tabla general'!$L$4,0))) + IF(AND($C11=W11,$D11=X11),'Tabla general'!$L$5,0))</f>
        <v>0</v>
      </c>
      <c r="Z11" s="38"/>
      <c r="AA11" s="38"/>
      <c r="AB11" s="32">
        <f>IF(AND($C11="",$D11=""),0,IF(AND($C11&gt;$D11,Z11&gt;AA11),'Tabla general'!$L$4,IF(AND($D11&gt;$C11,AA11&gt;Z11),'Tabla general'!$L$4,IF(AND($C11=$D11,Z11=AA11),'Tabla general'!$L$4,0))) + IF(AND($C11=Z11,$D11=AA11),'Tabla general'!$L$5,0))</f>
        <v>0</v>
      </c>
      <c r="AC11" s="38"/>
      <c r="AD11" s="38"/>
      <c r="AE11" s="33">
        <f>IF(AND($C11="",$D11=""),0,IF(AND($C11&gt;$D11,AC11&gt;AD11),'Tabla general'!$L$4,IF(AND($D11&gt;$C11,AD11&gt;AC11),'Tabla general'!$L$4,IF(AND($C11=$D11,AC11=AD11),'Tabla general'!$L$4,0))) + IF(AND($C11=AC11,$D11=AD11),'Tabla general'!$L$5,0))</f>
        <v>0</v>
      </c>
      <c r="AF11" s="38"/>
      <c r="AG11" s="38"/>
      <c r="AH11" s="34">
        <f>IF(AND($C11="",$D11=""),0,IF(AND($C11&gt;$D11,AF11&gt;AG11),'Tabla general'!$L$4,IF(AND($D11&gt;$C11,AG11&gt;AF11),'Tabla general'!$L$4,IF(AND($C11=$D11,AF11=AG11),'Tabla general'!$L$4,0))) + IF(AND($C11=AF11,$D11=AG11),'Tabla general'!$L$5,0))</f>
        <v>0</v>
      </c>
      <c r="AI11" s="38"/>
      <c r="AJ11" s="38"/>
      <c r="AK11" s="35">
        <f>IF(AND($C11="",$D11=""),0,IF(AND($C11&gt;$D11,AI11&gt;AJ11),'Tabla general'!$L$4,IF(AND($D11&gt;$C11,AJ11&gt;AI11),'Tabla general'!$L$4,IF(AND($C11=$D11,AI11=AJ11),'Tabla general'!$L$4,0))) + IF(AND($C11=AI11,$D11=AJ11),'Tabla general'!$L$5,0))</f>
        <v>0</v>
      </c>
      <c r="AL11" s="38"/>
      <c r="AM11" s="38"/>
      <c r="AN11" s="36">
        <f>IF(AND($C11="",$D11=""),0,IF(AND($C11&gt;$D11,AL11&gt;AM11),'Tabla general'!$L$4,IF(AND($D11&gt;$C11,AM11&gt;AL11),'Tabla general'!$L$4,IF(AND($C11=$D11,AL11=AM11),'Tabla general'!$L$4,0))) + IF(AND($C11=AL11,$D11=AM11),'Tabla general'!$L$5,0))</f>
        <v>0</v>
      </c>
      <c r="AO11" s="38"/>
      <c r="AP11" s="38"/>
      <c r="AQ11" s="37">
        <f>IF(AND($C11="",$D11=""),0,IF(AND($C11&gt;$D11,AO11&gt;AP11),'Tabla general'!$L$4,IF(AND($D11&gt;$C11,AP11&gt;AO11),'Tabla general'!$L$4,IF(AND($C11=$D11,AO11=AP11),'Tabla general'!$L$4,0))) + IF(AND($C11=AO11,$D11=AP11),'Tabla general'!$L$5,0))</f>
        <v>0</v>
      </c>
      <c r="AR11" s="38"/>
      <c r="AS11" s="38"/>
      <c r="AT11" s="34">
        <f>IF(AND($C11="",$D11=""),0,IF(AND($C11&gt;$D11,AR11&gt;AS11),'Tabla general'!$L$4,IF(AND($D11&gt;$C11,AS11&gt;AR11),'Tabla general'!$L$4,IF(AND($C11=$D11,AR11=AS11),'Tabla general'!$L$4,0))) + IF(AND($C11=AR11,$D11=AS11),'Tabla general'!$L$5,0))</f>
        <v>0</v>
      </c>
      <c r="AU11" s="38"/>
      <c r="AV11" s="38"/>
      <c r="AW11" s="35">
        <f>IF(AND($C11="",$D11=""),0,IF(AND($C11&gt;$D11,AU11&gt;AV11),'Tabla general'!$L$4,IF(AND($D11&gt;$C11,AV11&gt;AU11),'Tabla general'!$L$4,IF(AND($C11=$D11,AU11=AV11),'Tabla general'!$L$4,0))) + IF(AND($C11=AU11,$D11=AV11),'Tabla general'!$L$5,0))</f>
        <v>0</v>
      </c>
      <c r="AX11" s="48"/>
      <c r="AY11" s="46"/>
      <c r="AZ11" s="35">
        <f>IF(AND($C11="",$D11=""),0,IF(AND($C11&gt;$D11,AX11&gt;AY11),'Tabla general'!$L$4,IF(AND($D11&gt;$C11,AY11&gt;AX11),'Tabla general'!$L$4,IF(AND($C11=$D11,AX11=AY11),'Tabla general'!$L$4,0))) + IF(AND($C11=AX11,$D11=AY11),'Tabla general'!$L$5,0))</f>
        <v>0</v>
      </c>
    </row>
    <row r="12" spans="1:52">
      <c r="A12" s="2" t="s">
        <v>83</v>
      </c>
      <c r="B12" s="2" t="s">
        <v>84</v>
      </c>
      <c r="C12" s="49"/>
      <c r="D12" s="50"/>
      <c r="E12" s="38"/>
      <c r="F12" s="38"/>
      <c r="G12" s="39">
        <f>IF(AND($C12="",$D12=""),0,IF(AND($C12&gt;$D12,E12&gt;F12),'Tabla general'!$L$4,IF(AND($D12&gt;$C12,F12&gt;E12),'Tabla general'!$L$4,IF(AND($C12=$D12,E12=F12),'Tabla general'!$L$4,0))) + IF(AND($C12=E12,$D12=F12),'Tabla general'!$L$5,0))</f>
        <v>0</v>
      </c>
      <c r="H12" s="38"/>
      <c r="I12" s="38"/>
      <c r="J12" s="26">
        <f>IF(AND($C12="",$D12=""),0,IF(AND($C12&gt;$D12,H12&gt;I12),'Tabla general'!$L$4,IF(AND($D12&gt;$C12,I12&gt;H12),'Tabla general'!$L$4,IF(AND($C12=$D12,H12=I12),'Tabla general'!$L$4,0))) + IF(AND($C12=H12,$D12=I12),'Tabla general'!$L$5,0))</f>
        <v>0</v>
      </c>
      <c r="K12" s="38"/>
      <c r="L12" s="38"/>
      <c r="M12" s="27">
        <f>IF(AND($C12="",$D12=""),0,IF(AND($C12&gt;$D12,K12&gt;L12),'Tabla general'!$L$4,IF(AND($D12&gt;$C12,L12&gt;K12),'Tabla general'!$L$4,IF(AND($C12=$D12,K12=L12),'Tabla general'!$L$4,0))) + IF(AND($C12=K12,$D12=L12),'Tabla general'!$L$5,0))</f>
        <v>0</v>
      </c>
      <c r="N12" s="38"/>
      <c r="O12" s="38"/>
      <c r="P12" s="28">
        <f>IF(AND($C12="",$D12=""),0,IF(AND($C12&gt;$D12,N12&gt;O12),'Tabla general'!$L$4,IF(AND($D12&gt;$C12,O12&gt;N12),'Tabla general'!$L$4,IF(AND($C12=$D12,N12=O12),'Tabla general'!$L$4,0))) + IF(AND($C12=N12,$D12=O12),'Tabla general'!$L$5,0))</f>
        <v>0</v>
      </c>
      <c r="Q12" s="38"/>
      <c r="R12" s="38"/>
      <c r="S12" s="29">
        <f>IF(AND($C12="",$D12=""),0,IF(AND($C12&gt;$D12,Q12&gt;R12),'Tabla general'!$L$4,IF(AND($D12&gt;$C12,R12&gt;Q12),'Tabla general'!$L$4,IF(AND($C12=$D12,Q12=R12),'Tabla general'!$L$4,0))) + IF(AND($C12=Q12,$D12=R12),'Tabla general'!$L$5,0))</f>
        <v>0</v>
      </c>
      <c r="T12" s="38"/>
      <c r="U12" s="38"/>
      <c r="V12" s="30">
        <f>IF(AND($C12="",$D12=""),0,IF(AND($C12&gt;$D12,T12&gt;U12),'Tabla general'!$L$4,IF(AND($D12&gt;$C12,U12&gt;T12),'Tabla general'!$L$4,IF(AND($C12=$D12,T12=U12),'Tabla general'!$L$4,0))) + IF(AND($C12=T12,$D12=U12),'Tabla general'!$L$5,0))</f>
        <v>0</v>
      </c>
      <c r="W12" s="38"/>
      <c r="X12" s="38"/>
      <c r="Y12" s="31">
        <f>IF(AND($C12="",$D12=""),0,IF(AND($C12&gt;$D12,W12&gt;X12),'Tabla general'!$L$4,IF(AND($D12&gt;$C12,X12&gt;W12),'Tabla general'!$L$4,IF(AND($C12=$D12,W12=X12),'Tabla general'!$L$4,0))) + IF(AND($C12=W12,$D12=X12),'Tabla general'!$L$5,0))</f>
        <v>0</v>
      </c>
      <c r="Z12" s="38"/>
      <c r="AA12" s="38"/>
      <c r="AB12" s="32">
        <f>IF(AND($C12="",$D12=""),0,IF(AND($C12&gt;$D12,Z12&gt;AA12),'Tabla general'!$L$4,IF(AND($D12&gt;$C12,AA12&gt;Z12),'Tabla general'!$L$4,IF(AND($C12=$D12,Z12=AA12),'Tabla general'!$L$4,0))) + IF(AND($C12=Z12,$D12=AA12),'Tabla general'!$L$5,0))</f>
        <v>0</v>
      </c>
      <c r="AC12" s="38"/>
      <c r="AD12" s="38"/>
      <c r="AE12" s="33">
        <f>IF(AND($C12="",$D12=""),0,IF(AND($C12&gt;$D12,AC12&gt;AD12),'Tabla general'!$L$4,IF(AND($D12&gt;$C12,AD12&gt;AC12),'Tabla general'!$L$4,IF(AND($C12=$D12,AC12=AD12),'Tabla general'!$L$4,0))) + IF(AND($C12=AC12,$D12=AD12),'Tabla general'!$L$5,0))</f>
        <v>0</v>
      </c>
      <c r="AF12" s="38"/>
      <c r="AG12" s="38"/>
      <c r="AH12" s="34">
        <f>IF(AND($C12="",$D12=""),0,IF(AND($C12&gt;$D12,AF12&gt;AG12),'Tabla general'!$L$4,IF(AND($D12&gt;$C12,AG12&gt;AF12),'Tabla general'!$L$4,IF(AND($C12=$D12,AF12=AG12),'Tabla general'!$L$4,0))) + IF(AND($C12=AF12,$D12=AG12),'Tabla general'!$L$5,0))</f>
        <v>0</v>
      </c>
      <c r="AI12" s="38"/>
      <c r="AJ12" s="38"/>
      <c r="AK12" s="35">
        <f>IF(AND($C12="",$D12=""),0,IF(AND($C12&gt;$D12,AI12&gt;AJ12),'Tabla general'!$L$4,IF(AND($D12&gt;$C12,AJ12&gt;AI12),'Tabla general'!$L$4,IF(AND($C12=$D12,AI12=AJ12),'Tabla general'!$L$4,0))) + IF(AND($C12=AI12,$D12=AJ12),'Tabla general'!$L$5,0))</f>
        <v>0</v>
      </c>
      <c r="AL12" s="38"/>
      <c r="AM12" s="38"/>
      <c r="AN12" s="36">
        <f>IF(AND($C12="",$D12=""),0,IF(AND($C12&gt;$D12,AL12&gt;AM12),'Tabla general'!$L$4,IF(AND($D12&gt;$C12,AM12&gt;AL12),'Tabla general'!$L$4,IF(AND($C12=$D12,AL12=AM12),'Tabla general'!$L$4,0))) + IF(AND($C12=AL12,$D12=AM12),'Tabla general'!$L$5,0))</f>
        <v>0</v>
      </c>
      <c r="AO12" s="38"/>
      <c r="AP12" s="38"/>
      <c r="AQ12" s="37">
        <f>IF(AND($C12="",$D12=""),0,IF(AND($C12&gt;$D12,AO12&gt;AP12),'Tabla general'!$L$4,IF(AND($D12&gt;$C12,AP12&gt;AO12),'Tabla general'!$L$4,IF(AND($C12=$D12,AO12=AP12),'Tabla general'!$L$4,0))) + IF(AND($C12=AO12,$D12=AP12),'Tabla general'!$L$5,0))</f>
        <v>0</v>
      </c>
      <c r="AR12" s="38"/>
      <c r="AS12" s="38"/>
      <c r="AT12" s="34">
        <f>IF(AND($C12="",$D12=""),0,IF(AND($C12&gt;$D12,AR12&gt;AS12),'Tabla general'!$L$4,IF(AND($D12&gt;$C12,AS12&gt;AR12),'Tabla general'!$L$4,IF(AND($C12=$D12,AR12=AS12),'Tabla general'!$L$4,0))) + IF(AND($C12=AR12,$D12=AS12),'Tabla general'!$L$5,0))</f>
        <v>0</v>
      </c>
      <c r="AU12" s="38"/>
      <c r="AV12" s="38"/>
      <c r="AW12" s="35">
        <f>IF(AND($C12="",$D12=""),0,IF(AND($C12&gt;$D12,AU12&gt;AV12),'Tabla general'!$L$4,IF(AND($D12&gt;$C12,AV12&gt;AU12),'Tabla general'!$L$4,IF(AND($C12=$D12,AU12=AV12),'Tabla general'!$L$4,0))) + IF(AND($C12=AU12,$D12=AV12),'Tabla general'!$L$5,0))</f>
        <v>0</v>
      </c>
      <c r="AX12" s="48"/>
      <c r="AY12" s="46"/>
      <c r="AZ12" s="35">
        <f>IF(AND($C12="",$D12=""),0,IF(AND($C12&gt;$D12,AX12&gt;AY12),'Tabla general'!$L$4,IF(AND($D12&gt;$C12,AY12&gt;AX12),'Tabla general'!$L$4,IF(AND($C12=$D12,AX12=AY12),'Tabla general'!$L$4,0))) + IF(AND($C12=AX12,$D12=AY12),'Tabla general'!$L$5,0))</f>
        <v>0</v>
      </c>
    </row>
    <row r="13" spans="1:52">
      <c r="A13" s="2" t="s">
        <v>85</v>
      </c>
      <c r="B13" s="2" t="s">
        <v>86</v>
      </c>
      <c r="C13" s="49"/>
      <c r="D13" s="50"/>
      <c r="E13" s="38"/>
      <c r="F13" s="38"/>
      <c r="G13" s="39">
        <f>IF(AND($C13="",$D13=""),0,IF(AND($C13&gt;$D13,E13&gt;F13),'Tabla general'!$L$4,IF(AND($D13&gt;$C13,F13&gt;E13),'Tabla general'!$L$4,IF(AND($C13=$D13,E13=F13),'Tabla general'!$L$4,0))) + IF(AND($C13=E13,$D13=F13),'Tabla general'!$L$5,0))</f>
        <v>0</v>
      </c>
      <c r="H13" s="38"/>
      <c r="I13" s="38"/>
      <c r="J13" s="26">
        <f>IF(AND($C13="",$D13=""),0,IF(AND($C13&gt;$D13,H13&gt;I13),'Tabla general'!$L$4,IF(AND($D13&gt;$C13,I13&gt;H13),'Tabla general'!$L$4,IF(AND($C13=$D13,H13=I13),'Tabla general'!$L$4,0))) + IF(AND($C13=H13,$D13=I13),'Tabla general'!$L$5,0))</f>
        <v>0</v>
      </c>
      <c r="K13" s="38"/>
      <c r="L13" s="38"/>
      <c r="M13" s="27">
        <f>IF(AND($C13="",$D13=""),0,IF(AND($C13&gt;$D13,K13&gt;L13),'Tabla general'!$L$4,IF(AND($D13&gt;$C13,L13&gt;K13),'Tabla general'!$L$4,IF(AND($C13=$D13,K13=L13),'Tabla general'!$L$4,0))) + IF(AND($C13=K13,$D13=L13),'Tabla general'!$L$5,0))</f>
        <v>0</v>
      </c>
      <c r="N13" s="38"/>
      <c r="O13" s="38"/>
      <c r="P13" s="28">
        <f>IF(AND($C13="",$D13=""),0,IF(AND($C13&gt;$D13,N13&gt;O13),'Tabla general'!$L$4,IF(AND($D13&gt;$C13,O13&gt;N13),'Tabla general'!$L$4,IF(AND($C13=$D13,N13=O13),'Tabla general'!$L$4,0))) + IF(AND($C13=N13,$D13=O13),'Tabla general'!$L$5,0))</f>
        <v>0</v>
      </c>
      <c r="Q13" s="38"/>
      <c r="R13" s="38"/>
      <c r="S13" s="29">
        <f>IF(AND($C13="",$D13=""),0,IF(AND($C13&gt;$D13,Q13&gt;R13),'Tabla general'!$L$4,IF(AND($D13&gt;$C13,R13&gt;Q13),'Tabla general'!$L$4,IF(AND($C13=$D13,Q13=R13),'Tabla general'!$L$4,0))) + IF(AND($C13=Q13,$D13=R13),'Tabla general'!$L$5,0))</f>
        <v>0</v>
      </c>
      <c r="T13" s="38"/>
      <c r="U13" s="38"/>
      <c r="V13" s="30">
        <f>IF(AND($C13="",$D13=""),0,IF(AND($C13&gt;$D13,T13&gt;U13),'Tabla general'!$L$4,IF(AND($D13&gt;$C13,U13&gt;T13),'Tabla general'!$L$4,IF(AND($C13=$D13,T13=U13),'Tabla general'!$L$4,0))) + IF(AND($C13=T13,$D13=U13),'Tabla general'!$L$5,0))</f>
        <v>0</v>
      </c>
      <c r="W13" s="38"/>
      <c r="X13" s="38"/>
      <c r="Y13" s="31">
        <f>IF(AND($C13="",$D13=""),0,IF(AND($C13&gt;$D13,W13&gt;X13),'Tabla general'!$L$4,IF(AND($D13&gt;$C13,X13&gt;W13),'Tabla general'!$L$4,IF(AND($C13=$D13,W13=X13),'Tabla general'!$L$4,0))) + IF(AND($C13=W13,$D13=X13),'Tabla general'!$L$5,0))</f>
        <v>0</v>
      </c>
      <c r="Z13" s="38"/>
      <c r="AA13" s="38"/>
      <c r="AB13" s="32">
        <f>IF(AND($C13="",$D13=""),0,IF(AND($C13&gt;$D13,Z13&gt;AA13),'Tabla general'!$L$4,IF(AND($D13&gt;$C13,AA13&gt;Z13),'Tabla general'!$L$4,IF(AND($C13=$D13,Z13=AA13),'Tabla general'!$L$4,0))) + IF(AND($C13=Z13,$D13=AA13),'Tabla general'!$L$5,0))</f>
        <v>0</v>
      </c>
      <c r="AC13" s="38"/>
      <c r="AD13" s="38"/>
      <c r="AE13" s="33">
        <f>IF(AND($C13="",$D13=""),0,IF(AND($C13&gt;$D13,AC13&gt;AD13),'Tabla general'!$L$4,IF(AND($D13&gt;$C13,AD13&gt;AC13),'Tabla general'!$L$4,IF(AND($C13=$D13,AC13=AD13),'Tabla general'!$L$4,0))) + IF(AND($C13=AC13,$D13=AD13),'Tabla general'!$L$5,0))</f>
        <v>0</v>
      </c>
      <c r="AF13" s="38"/>
      <c r="AG13" s="38"/>
      <c r="AH13" s="34">
        <f>IF(AND($C13="",$D13=""),0,IF(AND($C13&gt;$D13,AF13&gt;AG13),'Tabla general'!$L$4,IF(AND($D13&gt;$C13,AG13&gt;AF13),'Tabla general'!$L$4,IF(AND($C13=$D13,AF13=AG13),'Tabla general'!$L$4,0))) + IF(AND($C13=AF13,$D13=AG13),'Tabla general'!$L$5,0))</f>
        <v>0</v>
      </c>
      <c r="AI13" s="38"/>
      <c r="AJ13" s="38"/>
      <c r="AK13" s="35">
        <f>IF(AND($C13="",$D13=""),0,IF(AND($C13&gt;$D13,AI13&gt;AJ13),'Tabla general'!$L$4,IF(AND($D13&gt;$C13,AJ13&gt;AI13),'Tabla general'!$L$4,IF(AND($C13=$D13,AI13=AJ13),'Tabla general'!$L$4,0))) + IF(AND($C13=AI13,$D13=AJ13),'Tabla general'!$L$5,0))</f>
        <v>0</v>
      </c>
      <c r="AL13" s="38"/>
      <c r="AM13" s="38"/>
      <c r="AN13" s="36">
        <f>IF(AND($C13="",$D13=""),0,IF(AND($C13&gt;$D13,AL13&gt;AM13),'Tabla general'!$L$4,IF(AND($D13&gt;$C13,AM13&gt;AL13),'Tabla general'!$L$4,IF(AND($C13=$D13,AL13=AM13),'Tabla general'!$L$4,0))) + IF(AND($C13=AL13,$D13=AM13),'Tabla general'!$L$5,0))</f>
        <v>0</v>
      </c>
      <c r="AO13" s="38"/>
      <c r="AP13" s="38"/>
      <c r="AQ13" s="37">
        <f>IF(AND($C13="",$D13=""),0,IF(AND($C13&gt;$D13,AO13&gt;AP13),'Tabla general'!$L$4,IF(AND($D13&gt;$C13,AP13&gt;AO13),'Tabla general'!$L$4,IF(AND($C13=$D13,AO13=AP13),'Tabla general'!$L$4,0))) + IF(AND($C13=AO13,$D13=AP13),'Tabla general'!$L$5,0))</f>
        <v>0</v>
      </c>
      <c r="AR13" s="38"/>
      <c r="AS13" s="38"/>
      <c r="AT13" s="34">
        <f>IF(AND($C13="",$D13=""),0,IF(AND($C13&gt;$D13,AR13&gt;AS13),'Tabla general'!$L$4,IF(AND($D13&gt;$C13,AS13&gt;AR13),'Tabla general'!$L$4,IF(AND($C13=$D13,AR13=AS13),'Tabla general'!$L$4,0))) + IF(AND($C13=AR13,$D13=AS13),'Tabla general'!$L$5,0))</f>
        <v>0</v>
      </c>
      <c r="AU13" s="38"/>
      <c r="AV13" s="38"/>
      <c r="AW13" s="35">
        <f>IF(AND($C13="",$D13=""),0,IF(AND($C13&gt;$D13,AU13&gt;AV13),'Tabla general'!$L$4,IF(AND($D13&gt;$C13,AV13&gt;AU13),'Tabla general'!$L$4,IF(AND($C13=$D13,AU13=AV13),'Tabla general'!$L$4,0))) + IF(AND($C13=AU13,$D13=AV13),'Tabla general'!$L$5,0))</f>
        <v>0</v>
      </c>
      <c r="AX13" s="48"/>
      <c r="AY13" s="46"/>
      <c r="AZ13" s="35">
        <f>IF(AND($C13="",$D13=""),0,IF(AND($C13&gt;$D13,AX13&gt;AY13),'Tabla general'!$L$4,IF(AND($D13&gt;$C13,AY13&gt;AX13),'Tabla general'!$L$4,IF(AND($C13=$D13,AX13=AY13),'Tabla general'!$L$4,0))) + IF(AND($C13=AX13,$D13=AY13),'Tabla general'!$L$5,0))</f>
        <v>0</v>
      </c>
    </row>
    <row r="14" spans="1:52">
      <c r="A14" s="2" t="s">
        <v>87</v>
      </c>
      <c r="B14" s="2" t="s">
        <v>88</v>
      </c>
      <c r="C14" s="49"/>
      <c r="D14" s="50"/>
      <c r="E14" s="38"/>
      <c r="F14" s="38"/>
      <c r="G14" s="39">
        <f>IF(AND($C14="",$D14=""),0,IF(AND($C14&gt;$D14,E14&gt;F14),'Tabla general'!$L$4,IF(AND($D14&gt;$C14,F14&gt;E14),'Tabla general'!$L$4,IF(AND($C14=$D14,E14=F14),'Tabla general'!$L$4,0))) + IF(AND($C14=E14,$D14=F14),'Tabla general'!$L$5,0))</f>
        <v>0</v>
      </c>
      <c r="H14" s="38"/>
      <c r="I14" s="38"/>
      <c r="J14" s="26">
        <f>IF(AND($C14="",$D14=""),0,IF(AND($C14&gt;$D14,H14&gt;I14),'Tabla general'!$L$4,IF(AND($D14&gt;$C14,I14&gt;H14),'Tabla general'!$L$4,IF(AND($C14=$D14,H14=I14),'Tabla general'!$L$4,0))) + IF(AND($C14=H14,$D14=I14),'Tabla general'!$L$5,0))</f>
        <v>0</v>
      </c>
      <c r="K14" s="38"/>
      <c r="L14" s="38"/>
      <c r="M14" s="27">
        <f>IF(AND($C14="",$D14=""),0,IF(AND($C14&gt;$D14,K14&gt;L14),'Tabla general'!$L$4,IF(AND($D14&gt;$C14,L14&gt;K14),'Tabla general'!$L$4,IF(AND($C14=$D14,K14=L14),'Tabla general'!$L$4,0))) + IF(AND($C14=K14,$D14=L14),'Tabla general'!$L$5,0))</f>
        <v>0</v>
      </c>
      <c r="N14" s="38"/>
      <c r="O14" s="38"/>
      <c r="P14" s="28">
        <f>IF(AND($C14="",$D14=""),0,IF(AND($C14&gt;$D14,N14&gt;O14),'Tabla general'!$L$4,IF(AND($D14&gt;$C14,O14&gt;N14),'Tabla general'!$L$4,IF(AND($C14=$D14,N14=O14),'Tabla general'!$L$4,0))) + IF(AND($C14=N14,$D14=O14),'Tabla general'!$L$5,0))</f>
        <v>0</v>
      </c>
      <c r="Q14" s="38"/>
      <c r="R14" s="38"/>
      <c r="S14" s="29">
        <f>IF(AND($C14="",$D14=""),0,IF(AND($C14&gt;$D14,Q14&gt;R14),'Tabla general'!$L$4,IF(AND($D14&gt;$C14,R14&gt;Q14),'Tabla general'!$L$4,IF(AND($C14=$D14,Q14=R14),'Tabla general'!$L$4,0))) + IF(AND($C14=Q14,$D14=R14),'Tabla general'!$L$5,0))</f>
        <v>0</v>
      </c>
      <c r="T14" s="38"/>
      <c r="U14" s="38"/>
      <c r="V14" s="30">
        <f>IF(AND($C14="",$D14=""),0,IF(AND($C14&gt;$D14,T14&gt;U14),'Tabla general'!$L$4,IF(AND($D14&gt;$C14,U14&gt;T14),'Tabla general'!$L$4,IF(AND($C14=$D14,T14=U14),'Tabla general'!$L$4,0))) + IF(AND($C14=T14,$D14=U14),'Tabla general'!$L$5,0))</f>
        <v>0</v>
      </c>
      <c r="W14" s="38"/>
      <c r="X14" s="38"/>
      <c r="Y14" s="31">
        <f>IF(AND($C14="",$D14=""),0,IF(AND($C14&gt;$D14,W14&gt;X14),'Tabla general'!$L$4,IF(AND($D14&gt;$C14,X14&gt;W14),'Tabla general'!$L$4,IF(AND($C14=$D14,W14=X14),'Tabla general'!$L$4,0))) + IF(AND($C14=W14,$D14=X14),'Tabla general'!$L$5,0))</f>
        <v>0</v>
      </c>
      <c r="Z14" s="38"/>
      <c r="AA14" s="38"/>
      <c r="AB14" s="32">
        <f>IF(AND($C14="",$D14=""),0,IF(AND($C14&gt;$D14,Z14&gt;AA14),'Tabla general'!$L$4,IF(AND($D14&gt;$C14,AA14&gt;Z14),'Tabla general'!$L$4,IF(AND($C14=$D14,Z14=AA14),'Tabla general'!$L$4,0))) + IF(AND($C14=Z14,$D14=AA14),'Tabla general'!$L$5,0))</f>
        <v>0</v>
      </c>
      <c r="AC14" s="38"/>
      <c r="AD14" s="38"/>
      <c r="AE14" s="33">
        <f>IF(AND($C14="",$D14=""),0,IF(AND($C14&gt;$D14,AC14&gt;AD14),'Tabla general'!$L$4,IF(AND($D14&gt;$C14,AD14&gt;AC14),'Tabla general'!$L$4,IF(AND($C14=$D14,AC14=AD14),'Tabla general'!$L$4,0))) + IF(AND($C14=AC14,$D14=AD14),'Tabla general'!$L$5,0))</f>
        <v>0</v>
      </c>
      <c r="AF14" s="38"/>
      <c r="AG14" s="38"/>
      <c r="AH14" s="34">
        <f>IF(AND($C14="",$D14=""),0,IF(AND($C14&gt;$D14,AF14&gt;AG14),'Tabla general'!$L$4,IF(AND($D14&gt;$C14,AG14&gt;AF14),'Tabla general'!$L$4,IF(AND($C14=$D14,AF14=AG14),'Tabla general'!$L$4,0))) + IF(AND($C14=AF14,$D14=AG14),'Tabla general'!$L$5,0))</f>
        <v>0</v>
      </c>
      <c r="AI14" s="38"/>
      <c r="AJ14" s="38"/>
      <c r="AK14" s="35">
        <f>IF(AND($C14="",$D14=""),0,IF(AND($C14&gt;$D14,AI14&gt;AJ14),'Tabla general'!$L$4,IF(AND($D14&gt;$C14,AJ14&gt;AI14),'Tabla general'!$L$4,IF(AND($C14=$D14,AI14=AJ14),'Tabla general'!$L$4,0))) + IF(AND($C14=AI14,$D14=AJ14),'Tabla general'!$L$5,0))</f>
        <v>0</v>
      </c>
      <c r="AL14" s="38"/>
      <c r="AM14" s="38"/>
      <c r="AN14" s="36">
        <f>IF(AND($C14="",$D14=""),0,IF(AND($C14&gt;$D14,AL14&gt;AM14),'Tabla general'!$L$4,IF(AND($D14&gt;$C14,AM14&gt;AL14),'Tabla general'!$L$4,IF(AND($C14=$D14,AL14=AM14),'Tabla general'!$L$4,0))) + IF(AND($C14=AL14,$D14=AM14),'Tabla general'!$L$5,0))</f>
        <v>0</v>
      </c>
      <c r="AO14" s="38"/>
      <c r="AP14" s="38"/>
      <c r="AQ14" s="37">
        <f>IF(AND($C14="",$D14=""),0,IF(AND($C14&gt;$D14,AO14&gt;AP14),'Tabla general'!$L$4,IF(AND($D14&gt;$C14,AP14&gt;AO14),'Tabla general'!$L$4,IF(AND($C14=$D14,AO14=AP14),'Tabla general'!$L$4,0))) + IF(AND($C14=AO14,$D14=AP14),'Tabla general'!$L$5,0))</f>
        <v>0</v>
      </c>
      <c r="AR14" s="38"/>
      <c r="AS14" s="38"/>
      <c r="AT14" s="34">
        <f>IF(AND($C14="",$D14=""),0,IF(AND($C14&gt;$D14,AR14&gt;AS14),'Tabla general'!$L$4,IF(AND($D14&gt;$C14,AS14&gt;AR14),'Tabla general'!$L$4,IF(AND($C14=$D14,AR14=AS14),'Tabla general'!$L$4,0))) + IF(AND($C14=AR14,$D14=AS14),'Tabla general'!$L$5,0))</f>
        <v>0</v>
      </c>
      <c r="AU14" s="38"/>
      <c r="AV14" s="38"/>
      <c r="AW14" s="35">
        <f>IF(AND($C14="",$D14=""),0,IF(AND($C14&gt;$D14,AU14&gt;AV14),'Tabla general'!$L$4,IF(AND($D14&gt;$C14,AV14&gt;AU14),'Tabla general'!$L$4,IF(AND($C14=$D14,AU14=AV14),'Tabla general'!$L$4,0))) + IF(AND($C14=AU14,$D14=AV14),'Tabla general'!$L$5,0))</f>
        <v>0</v>
      </c>
      <c r="AX14" s="48"/>
      <c r="AY14" s="46"/>
      <c r="AZ14" s="35">
        <f>IF(AND($C14="",$D14=""),0,IF(AND($C14&gt;$D14,AX14&gt;AY14),'Tabla general'!$L$4,IF(AND($D14&gt;$C14,AY14&gt;AX14),'Tabla general'!$L$4,IF(AND($C14=$D14,AX14=AY14),'Tabla general'!$L$4,0))) + IF(AND($C14=AX14,$D14=AY14),'Tabla general'!$L$5,0))</f>
        <v>0</v>
      </c>
    </row>
    <row r="15" spans="1:52">
      <c r="A15" s="2" t="s">
        <v>89</v>
      </c>
      <c r="B15" s="2" t="s">
        <v>90</v>
      </c>
      <c r="C15" s="49"/>
      <c r="D15" s="50"/>
      <c r="E15" s="38"/>
      <c r="F15" s="38"/>
      <c r="G15" s="39">
        <f>IF(AND($C15="",$D15=""),0,IF(AND($C15&gt;$D15,E15&gt;F15),'Tabla general'!$L$4,IF(AND($D15&gt;$C15,F15&gt;E15),'Tabla general'!$L$4,IF(AND($C15=$D15,E15=F15),'Tabla general'!$L$4,0))) + IF(AND($C15=E15,$D15=F15),'Tabla general'!$L$5,0))</f>
        <v>0</v>
      </c>
      <c r="H15" s="38"/>
      <c r="I15" s="38"/>
      <c r="J15" s="26">
        <f>IF(AND($C15="",$D15=""),0,IF(AND($C15&gt;$D15,H15&gt;I15),'Tabla general'!$L$4,IF(AND($D15&gt;$C15,I15&gt;H15),'Tabla general'!$L$4,IF(AND($C15=$D15,H15=I15),'Tabla general'!$L$4,0))) + IF(AND($C15=H15,$D15=I15),'Tabla general'!$L$5,0))</f>
        <v>0</v>
      </c>
      <c r="K15" s="38"/>
      <c r="L15" s="38"/>
      <c r="M15" s="27">
        <f>IF(AND($C15="",$D15=""),0,IF(AND($C15&gt;$D15,K15&gt;L15),'Tabla general'!$L$4,IF(AND($D15&gt;$C15,L15&gt;K15),'Tabla general'!$L$4,IF(AND($C15=$D15,K15=L15),'Tabla general'!$L$4,0))) + IF(AND($C15=K15,$D15=L15),'Tabla general'!$L$5,0))</f>
        <v>0</v>
      </c>
      <c r="N15" s="38"/>
      <c r="O15" s="38"/>
      <c r="P15" s="28">
        <f>IF(AND($C15="",$D15=""),0,IF(AND($C15&gt;$D15,N15&gt;O15),'Tabla general'!$L$4,IF(AND($D15&gt;$C15,O15&gt;N15),'Tabla general'!$L$4,IF(AND($C15=$D15,N15=O15),'Tabla general'!$L$4,0))) + IF(AND($C15=N15,$D15=O15),'Tabla general'!$L$5,0))</f>
        <v>0</v>
      </c>
      <c r="Q15" s="38"/>
      <c r="R15" s="38"/>
      <c r="S15" s="29">
        <f>IF(AND($C15="",$D15=""),0,IF(AND($C15&gt;$D15,Q15&gt;R15),'Tabla general'!$L$4,IF(AND($D15&gt;$C15,R15&gt;Q15),'Tabla general'!$L$4,IF(AND($C15=$D15,Q15=R15),'Tabla general'!$L$4,0))) + IF(AND($C15=Q15,$D15=R15),'Tabla general'!$L$5,0))</f>
        <v>0</v>
      </c>
      <c r="T15" s="38"/>
      <c r="U15" s="38"/>
      <c r="V15" s="30">
        <f>IF(AND($C15="",$D15=""),0,IF(AND($C15&gt;$D15,T15&gt;U15),'Tabla general'!$L$4,IF(AND($D15&gt;$C15,U15&gt;T15),'Tabla general'!$L$4,IF(AND($C15=$D15,T15=U15),'Tabla general'!$L$4,0))) + IF(AND($C15=T15,$D15=U15),'Tabla general'!$L$5,0))</f>
        <v>0</v>
      </c>
      <c r="W15" s="38"/>
      <c r="X15" s="38"/>
      <c r="Y15" s="31">
        <f>IF(AND($C15="",$D15=""),0,IF(AND($C15&gt;$D15,W15&gt;X15),'Tabla general'!$L$4,IF(AND($D15&gt;$C15,X15&gt;W15),'Tabla general'!$L$4,IF(AND($C15=$D15,W15=X15),'Tabla general'!$L$4,0))) + IF(AND($C15=W15,$D15=X15),'Tabla general'!$L$5,0))</f>
        <v>0</v>
      </c>
      <c r="Z15" s="38"/>
      <c r="AA15" s="38"/>
      <c r="AB15" s="32">
        <f>IF(AND($C15="",$D15=""),0,IF(AND($C15&gt;$D15,Z15&gt;AA15),'Tabla general'!$L$4,IF(AND($D15&gt;$C15,AA15&gt;Z15),'Tabla general'!$L$4,IF(AND($C15=$D15,Z15=AA15),'Tabla general'!$L$4,0))) + IF(AND($C15=Z15,$D15=AA15),'Tabla general'!$L$5,0))</f>
        <v>0</v>
      </c>
      <c r="AC15" s="38"/>
      <c r="AD15" s="38"/>
      <c r="AE15" s="33">
        <f>IF(AND($C15="",$D15=""),0,IF(AND($C15&gt;$D15,AC15&gt;AD15),'Tabla general'!$L$4,IF(AND($D15&gt;$C15,AD15&gt;AC15),'Tabla general'!$L$4,IF(AND($C15=$D15,AC15=AD15),'Tabla general'!$L$4,0))) + IF(AND($C15=AC15,$D15=AD15),'Tabla general'!$L$5,0))</f>
        <v>0</v>
      </c>
      <c r="AF15" s="38"/>
      <c r="AG15" s="38"/>
      <c r="AH15" s="34">
        <f>IF(AND($C15="",$D15=""),0,IF(AND($C15&gt;$D15,AF15&gt;AG15),'Tabla general'!$L$4,IF(AND($D15&gt;$C15,AG15&gt;AF15),'Tabla general'!$L$4,IF(AND($C15=$D15,AF15=AG15),'Tabla general'!$L$4,0))) + IF(AND($C15=AF15,$D15=AG15),'Tabla general'!$L$5,0))</f>
        <v>0</v>
      </c>
      <c r="AI15" s="38"/>
      <c r="AJ15" s="38"/>
      <c r="AK15" s="35">
        <f>IF(AND($C15="",$D15=""),0,IF(AND($C15&gt;$D15,AI15&gt;AJ15),'Tabla general'!$L$4,IF(AND($D15&gt;$C15,AJ15&gt;AI15),'Tabla general'!$L$4,IF(AND($C15=$D15,AI15=AJ15),'Tabla general'!$L$4,0))) + IF(AND($C15=AI15,$D15=AJ15),'Tabla general'!$L$5,0))</f>
        <v>0</v>
      </c>
      <c r="AL15" s="38"/>
      <c r="AM15" s="38"/>
      <c r="AN15" s="36">
        <f>IF(AND($C15="",$D15=""),0,IF(AND($C15&gt;$D15,AL15&gt;AM15),'Tabla general'!$L$4,IF(AND($D15&gt;$C15,AM15&gt;AL15),'Tabla general'!$L$4,IF(AND($C15=$D15,AL15=AM15),'Tabla general'!$L$4,0))) + IF(AND($C15=AL15,$D15=AM15),'Tabla general'!$L$5,0))</f>
        <v>0</v>
      </c>
      <c r="AO15" s="38"/>
      <c r="AP15" s="38"/>
      <c r="AQ15" s="37">
        <f>IF(AND($C15="",$D15=""),0,IF(AND($C15&gt;$D15,AO15&gt;AP15),'Tabla general'!$L$4,IF(AND($D15&gt;$C15,AP15&gt;AO15),'Tabla general'!$L$4,IF(AND($C15=$D15,AO15=AP15),'Tabla general'!$L$4,0))) + IF(AND($C15=AO15,$D15=AP15),'Tabla general'!$L$5,0))</f>
        <v>0</v>
      </c>
      <c r="AR15" s="38"/>
      <c r="AS15" s="38"/>
      <c r="AT15" s="34">
        <f>IF(AND($C15="",$D15=""),0,IF(AND($C15&gt;$D15,AR15&gt;AS15),'Tabla general'!$L$4,IF(AND($D15&gt;$C15,AS15&gt;AR15),'Tabla general'!$L$4,IF(AND($C15=$D15,AR15=AS15),'Tabla general'!$L$4,0))) + IF(AND($C15=AR15,$D15=AS15),'Tabla general'!$L$5,0))</f>
        <v>0</v>
      </c>
      <c r="AU15" s="38"/>
      <c r="AV15" s="38"/>
      <c r="AW15" s="35">
        <f>IF(AND($C15="",$D15=""),0,IF(AND($C15&gt;$D15,AU15&gt;AV15),'Tabla general'!$L$4,IF(AND($D15&gt;$C15,AV15&gt;AU15),'Tabla general'!$L$4,IF(AND($C15=$D15,AU15=AV15),'Tabla general'!$L$4,0))) + IF(AND($C15=AU15,$D15=AV15),'Tabla general'!$L$5,0))</f>
        <v>0</v>
      </c>
      <c r="AX15" s="48"/>
      <c r="AY15" s="46"/>
      <c r="AZ15" s="35">
        <f>IF(AND($C15="",$D15=""),0,IF(AND($C15&gt;$D15,AX15&gt;AY15),'Tabla general'!$L$4,IF(AND($D15&gt;$C15,AY15&gt;AX15),'Tabla general'!$L$4,IF(AND($C15=$D15,AX15=AY15),'Tabla general'!$L$4,0))) + IF(AND($C15=AX15,$D15=AY15),'Tabla general'!$L$5,0))</f>
        <v>0</v>
      </c>
    </row>
    <row r="16" spans="1:52">
      <c r="A16" s="2" t="s">
        <v>91</v>
      </c>
      <c r="B16" s="2" t="s">
        <v>92</v>
      </c>
      <c r="C16" s="49"/>
      <c r="D16" s="50"/>
      <c r="E16" s="38"/>
      <c r="F16" s="38"/>
      <c r="G16" s="39">
        <f>IF(AND($C16="",$D16=""),0,IF(AND($C16&gt;$D16,E16&gt;F16),'Tabla general'!$L$4,IF(AND($D16&gt;$C16,F16&gt;E16),'Tabla general'!$L$4,IF(AND($C16=$D16,E16=F16),'Tabla general'!$L$4,0))) + IF(AND($C16=E16,$D16=F16),'Tabla general'!$L$5,0))</f>
        <v>0</v>
      </c>
      <c r="H16" s="38"/>
      <c r="I16" s="38"/>
      <c r="J16" s="26">
        <f>IF(AND($C16="",$D16=""),0,IF(AND($C16&gt;$D16,H16&gt;I16),'Tabla general'!$L$4,IF(AND($D16&gt;$C16,I16&gt;H16),'Tabla general'!$L$4,IF(AND($C16=$D16,H16=I16),'Tabla general'!$L$4,0))) + IF(AND($C16=H16,$D16=I16),'Tabla general'!$L$5,0))</f>
        <v>0</v>
      </c>
      <c r="K16" s="38"/>
      <c r="L16" s="38"/>
      <c r="M16" s="27">
        <f>IF(AND($C16="",$D16=""),0,IF(AND($C16&gt;$D16,K16&gt;L16),'Tabla general'!$L$4,IF(AND($D16&gt;$C16,L16&gt;K16),'Tabla general'!$L$4,IF(AND($C16=$D16,K16=L16),'Tabla general'!$L$4,0))) + IF(AND($C16=K16,$D16=L16),'Tabla general'!$L$5,0))</f>
        <v>0</v>
      </c>
      <c r="N16" s="38"/>
      <c r="O16" s="38"/>
      <c r="P16" s="28">
        <f>IF(AND($C16="",$D16=""),0,IF(AND($C16&gt;$D16,N16&gt;O16),'Tabla general'!$L$4,IF(AND($D16&gt;$C16,O16&gt;N16),'Tabla general'!$L$4,IF(AND($C16=$D16,N16=O16),'Tabla general'!$L$4,0))) + IF(AND($C16=N16,$D16=O16),'Tabla general'!$L$5,0))</f>
        <v>0</v>
      </c>
      <c r="Q16" s="38"/>
      <c r="R16" s="38"/>
      <c r="S16" s="29">
        <f>IF(AND($C16="",$D16=""),0,IF(AND($C16&gt;$D16,Q16&gt;R16),'Tabla general'!$L$4,IF(AND($D16&gt;$C16,R16&gt;Q16),'Tabla general'!$L$4,IF(AND($C16=$D16,Q16=R16),'Tabla general'!$L$4,0))) + IF(AND($C16=Q16,$D16=R16),'Tabla general'!$L$5,0))</f>
        <v>0</v>
      </c>
      <c r="T16" s="38"/>
      <c r="U16" s="38"/>
      <c r="V16" s="30">
        <f>IF(AND($C16="",$D16=""),0,IF(AND($C16&gt;$D16,T16&gt;U16),'Tabla general'!$L$4,IF(AND($D16&gt;$C16,U16&gt;T16),'Tabla general'!$L$4,IF(AND($C16=$D16,T16=U16),'Tabla general'!$L$4,0))) + IF(AND($C16=T16,$D16=U16),'Tabla general'!$L$5,0))</f>
        <v>0</v>
      </c>
      <c r="W16" s="38"/>
      <c r="X16" s="38"/>
      <c r="Y16" s="31">
        <f>IF(AND($C16="",$D16=""),0,IF(AND($C16&gt;$D16,W16&gt;X16),'Tabla general'!$L$4,IF(AND($D16&gt;$C16,X16&gt;W16),'Tabla general'!$L$4,IF(AND($C16=$D16,W16=X16),'Tabla general'!$L$4,0))) + IF(AND($C16=W16,$D16=X16),'Tabla general'!$L$5,0))</f>
        <v>0</v>
      </c>
      <c r="Z16" s="38"/>
      <c r="AA16" s="38"/>
      <c r="AB16" s="32">
        <f>IF(AND($C16="",$D16=""),0,IF(AND($C16&gt;$D16,Z16&gt;AA16),'Tabla general'!$L$4,IF(AND($D16&gt;$C16,AA16&gt;Z16),'Tabla general'!$L$4,IF(AND($C16=$D16,Z16=AA16),'Tabla general'!$L$4,0))) + IF(AND($C16=Z16,$D16=AA16),'Tabla general'!$L$5,0))</f>
        <v>0</v>
      </c>
      <c r="AC16" s="38"/>
      <c r="AD16" s="38"/>
      <c r="AE16" s="33">
        <f>IF(AND($C16="",$D16=""),0,IF(AND($C16&gt;$D16,AC16&gt;AD16),'Tabla general'!$L$4,IF(AND($D16&gt;$C16,AD16&gt;AC16),'Tabla general'!$L$4,IF(AND($C16=$D16,AC16=AD16),'Tabla general'!$L$4,0))) + IF(AND($C16=AC16,$D16=AD16),'Tabla general'!$L$5,0))</f>
        <v>0</v>
      </c>
      <c r="AF16" s="38"/>
      <c r="AG16" s="38"/>
      <c r="AH16" s="34">
        <f>IF(AND($C16="",$D16=""),0,IF(AND($C16&gt;$D16,AF16&gt;AG16),'Tabla general'!$L$4,IF(AND($D16&gt;$C16,AG16&gt;AF16),'Tabla general'!$L$4,IF(AND($C16=$D16,AF16=AG16),'Tabla general'!$L$4,0))) + IF(AND($C16=AF16,$D16=AG16),'Tabla general'!$L$5,0))</f>
        <v>0</v>
      </c>
      <c r="AI16" s="38"/>
      <c r="AJ16" s="38"/>
      <c r="AK16" s="35">
        <f>IF(AND($C16="",$D16=""),0,IF(AND($C16&gt;$D16,AI16&gt;AJ16),'Tabla general'!$L$4,IF(AND($D16&gt;$C16,AJ16&gt;AI16),'Tabla general'!$L$4,IF(AND($C16=$D16,AI16=AJ16),'Tabla general'!$L$4,0))) + IF(AND($C16=AI16,$D16=AJ16),'Tabla general'!$L$5,0))</f>
        <v>0</v>
      </c>
      <c r="AL16" s="38"/>
      <c r="AM16" s="38"/>
      <c r="AN16" s="36">
        <f>IF(AND($C16="",$D16=""),0,IF(AND($C16&gt;$D16,AL16&gt;AM16),'Tabla general'!$L$4,IF(AND($D16&gt;$C16,AM16&gt;AL16),'Tabla general'!$L$4,IF(AND($C16=$D16,AL16=AM16),'Tabla general'!$L$4,0))) + IF(AND($C16=AL16,$D16=AM16),'Tabla general'!$L$5,0))</f>
        <v>0</v>
      </c>
      <c r="AO16" s="38"/>
      <c r="AP16" s="38"/>
      <c r="AQ16" s="37">
        <f>IF(AND($C16="",$D16=""),0,IF(AND($C16&gt;$D16,AO16&gt;AP16),'Tabla general'!$L$4,IF(AND($D16&gt;$C16,AP16&gt;AO16),'Tabla general'!$L$4,IF(AND($C16=$D16,AO16=AP16),'Tabla general'!$L$4,0))) + IF(AND($C16=AO16,$D16=AP16),'Tabla general'!$L$5,0))</f>
        <v>0</v>
      </c>
      <c r="AR16" s="38"/>
      <c r="AS16" s="38"/>
      <c r="AT16" s="34">
        <f>IF(AND($C16="",$D16=""),0,IF(AND($C16&gt;$D16,AR16&gt;AS16),'Tabla general'!$L$4,IF(AND($D16&gt;$C16,AS16&gt;AR16),'Tabla general'!$L$4,IF(AND($C16=$D16,AR16=AS16),'Tabla general'!$L$4,0))) + IF(AND($C16=AR16,$D16=AS16),'Tabla general'!$L$5,0))</f>
        <v>0</v>
      </c>
      <c r="AU16" s="38"/>
      <c r="AV16" s="38"/>
      <c r="AW16" s="35">
        <f>IF(AND($C16="",$D16=""),0,IF(AND($C16&gt;$D16,AU16&gt;AV16),'Tabla general'!$L$4,IF(AND($D16&gt;$C16,AV16&gt;AU16),'Tabla general'!$L$4,IF(AND($C16=$D16,AU16=AV16),'Tabla general'!$L$4,0))) + IF(AND($C16=AU16,$D16=AV16),'Tabla general'!$L$5,0))</f>
        <v>0</v>
      </c>
      <c r="AX16" s="48"/>
      <c r="AY16" s="46"/>
      <c r="AZ16" s="35">
        <f>IF(AND($C16="",$D16=""),0,IF(AND($C16&gt;$D16,AX16&gt;AY16),'Tabla general'!$L$4,IF(AND($D16&gt;$C16,AY16&gt;AX16),'Tabla general'!$L$4,IF(AND($C16=$D16,AX16=AY16),'Tabla general'!$L$4,0))) + IF(AND($C16=AX16,$D16=AY16),'Tabla general'!$L$5,0))</f>
        <v>0</v>
      </c>
    </row>
    <row r="17" spans="1:52">
      <c r="A17" s="2" t="s">
        <v>93</v>
      </c>
      <c r="B17" s="2" t="s">
        <v>94</v>
      </c>
      <c r="C17" s="49"/>
      <c r="D17" s="50"/>
      <c r="E17" s="38"/>
      <c r="F17" s="38"/>
      <c r="G17" s="39">
        <f>IF(AND($C17="",$D17=""),0,IF(AND($C17&gt;$D17,E17&gt;F17),'Tabla general'!$L$4,IF(AND($D17&gt;$C17,F17&gt;E17),'Tabla general'!$L$4,IF(AND($C17=$D17,E17=F17),'Tabla general'!$L$4,0))) + IF(AND($C17=E17,$D17=F17),'Tabla general'!$L$5,0))</f>
        <v>0</v>
      </c>
      <c r="H17" s="38"/>
      <c r="I17" s="38"/>
      <c r="J17" s="26">
        <f>IF(AND($C17="",$D17=""),0,IF(AND($C17&gt;$D17,H17&gt;I17),'Tabla general'!$L$4,IF(AND($D17&gt;$C17,I17&gt;H17),'Tabla general'!$L$4,IF(AND($C17=$D17,H17=I17),'Tabla general'!$L$4,0))) + IF(AND($C17=H17,$D17=I17),'Tabla general'!$L$5,0))</f>
        <v>0</v>
      </c>
      <c r="K17" s="38"/>
      <c r="L17" s="38"/>
      <c r="M17" s="27">
        <f>IF(AND($C17="",$D17=""),0,IF(AND($C17&gt;$D17,K17&gt;L17),'Tabla general'!$L$4,IF(AND($D17&gt;$C17,L17&gt;K17),'Tabla general'!$L$4,IF(AND($C17=$D17,K17=L17),'Tabla general'!$L$4,0))) + IF(AND($C17=K17,$D17=L17),'Tabla general'!$L$5,0))</f>
        <v>0</v>
      </c>
      <c r="N17" s="38"/>
      <c r="O17" s="38"/>
      <c r="P17" s="28">
        <f>IF(AND($C17="",$D17=""),0,IF(AND($C17&gt;$D17,N17&gt;O17),'Tabla general'!$L$4,IF(AND($D17&gt;$C17,O17&gt;N17),'Tabla general'!$L$4,IF(AND($C17=$D17,N17=O17),'Tabla general'!$L$4,0))) + IF(AND($C17=N17,$D17=O17),'Tabla general'!$L$5,0))</f>
        <v>0</v>
      </c>
      <c r="Q17" s="38"/>
      <c r="R17" s="38"/>
      <c r="S17" s="29">
        <f>IF(AND($C17="",$D17=""),0,IF(AND($C17&gt;$D17,Q17&gt;R17),'Tabla general'!$L$4,IF(AND($D17&gt;$C17,R17&gt;Q17),'Tabla general'!$L$4,IF(AND($C17=$D17,Q17=R17),'Tabla general'!$L$4,0))) + IF(AND($C17=Q17,$D17=R17),'Tabla general'!$L$5,0))</f>
        <v>0</v>
      </c>
      <c r="T17" s="38"/>
      <c r="U17" s="38"/>
      <c r="V17" s="30">
        <f>IF(AND($C17="",$D17=""),0,IF(AND($C17&gt;$D17,T17&gt;U17),'Tabla general'!$L$4,IF(AND($D17&gt;$C17,U17&gt;T17),'Tabla general'!$L$4,IF(AND($C17=$D17,T17=U17),'Tabla general'!$L$4,0))) + IF(AND($C17=T17,$D17=U17),'Tabla general'!$L$5,0))</f>
        <v>0</v>
      </c>
      <c r="W17" s="38"/>
      <c r="X17" s="38"/>
      <c r="Y17" s="31">
        <f>IF(AND($C17="",$D17=""),0,IF(AND($C17&gt;$D17,W17&gt;X17),'Tabla general'!$L$4,IF(AND($D17&gt;$C17,X17&gt;W17),'Tabla general'!$L$4,IF(AND($C17=$D17,W17=X17),'Tabla general'!$L$4,0))) + IF(AND($C17=W17,$D17=X17),'Tabla general'!$L$5,0))</f>
        <v>0</v>
      </c>
      <c r="Z17" s="38"/>
      <c r="AA17" s="38"/>
      <c r="AB17" s="32">
        <f>IF(AND($C17="",$D17=""),0,IF(AND($C17&gt;$D17,Z17&gt;AA17),'Tabla general'!$L$4,IF(AND($D17&gt;$C17,AA17&gt;Z17),'Tabla general'!$L$4,IF(AND($C17=$D17,Z17=AA17),'Tabla general'!$L$4,0))) + IF(AND($C17=Z17,$D17=AA17),'Tabla general'!$L$5,0))</f>
        <v>0</v>
      </c>
      <c r="AC17" s="38"/>
      <c r="AD17" s="38"/>
      <c r="AE17" s="33">
        <f>IF(AND($C17="",$D17=""),0,IF(AND($C17&gt;$D17,AC17&gt;AD17),'Tabla general'!$L$4,IF(AND($D17&gt;$C17,AD17&gt;AC17),'Tabla general'!$L$4,IF(AND($C17=$D17,AC17=AD17),'Tabla general'!$L$4,0))) + IF(AND($C17=AC17,$D17=AD17),'Tabla general'!$L$5,0))</f>
        <v>0</v>
      </c>
      <c r="AF17" s="38"/>
      <c r="AG17" s="38"/>
      <c r="AH17" s="34">
        <f>IF(AND($C17="",$D17=""),0,IF(AND($C17&gt;$D17,AF17&gt;AG17),'Tabla general'!$L$4,IF(AND($D17&gt;$C17,AG17&gt;AF17),'Tabla general'!$L$4,IF(AND($C17=$D17,AF17=AG17),'Tabla general'!$L$4,0))) + IF(AND($C17=AF17,$D17=AG17),'Tabla general'!$L$5,0))</f>
        <v>0</v>
      </c>
      <c r="AI17" s="38"/>
      <c r="AJ17" s="38"/>
      <c r="AK17" s="35">
        <f>IF(AND($C17="",$D17=""),0,IF(AND($C17&gt;$D17,AI17&gt;AJ17),'Tabla general'!$L$4,IF(AND($D17&gt;$C17,AJ17&gt;AI17),'Tabla general'!$L$4,IF(AND($C17=$D17,AI17=AJ17),'Tabla general'!$L$4,0))) + IF(AND($C17=AI17,$D17=AJ17),'Tabla general'!$L$5,0))</f>
        <v>0</v>
      </c>
      <c r="AL17" s="38"/>
      <c r="AM17" s="38"/>
      <c r="AN17" s="36">
        <f>IF(AND($C17="",$D17=""),0,IF(AND($C17&gt;$D17,AL17&gt;AM17),'Tabla general'!$L$4,IF(AND($D17&gt;$C17,AM17&gt;AL17),'Tabla general'!$L$4,IF(AND($C17=$D17,AL17=AM17),'Tabla general'!$L$4,0))) + IF(AND($C17=AL17,$D17=AM17),'Tabla general'!$L$5,0))</f>
        <v>0</v>
      </c>
      <c r="AO17" s="38"/>
      <c r="AP17" s="38"/>
      <c r="AQ17" s="37">
        <f>IF(AND($C17="",$D17=""),0,IF(AND($C17&gt;$D17,AO17&gt;AP17),'Tabla general'!$L$4,IF(AND($D17&gt;$C17,AP17&gt;AO17),'Tabla general'!$L$4,IF(AND($C17=$D17,AO17=AP17),'Tabla general'!$L$4,0))) + IF(AND($C17=AO17,$D17=AP17),'Tabla general'!$L$5,0))</f>
        <v>0</v>
      </c>
      <c r="AR17" s="38"/>
      <c r="AS17" s="38"/>
      <c r="AT17" s="34">
        <f>IF(AND($C17="",$D17=""),0,IF(AND($C17&gt;$D17,AR17&gt;AS17),'Tabla general'!$L$4,IF(AND($D17&gt;$C17,AS17&gt;AR17),'Tabla general'!$L$4,IF(AND($C17=$D17,AR17=AS17),'Tabla general'!$L$4,0))) + IF(AND($C17=AR17,$D17=AS17),'Tabla general'!$L$5,0))</f>
        <v>0</v>
      </c>
      <c r="AU17" s="38"/>
      <c r="AV17" s="38"/>
      <c r="AW17" s="35">
        <f>IF(AND($C17="",$D17=""),0,IF(AND($C17&gt;$D17,AU17&gt;AV17),'Tabla general'!$L$4,IF(AND($D17&gt;$C17,AV17&gt;AU17),'Tabla general'!$L$4,IF(AND($C17=$D17,AU17=AV17),'Tabla general'!$L$4,0))) + IF(AND($C17=AU17,$D17=AV17),'Tabla general'!$L$5,0))</f>
        <v>0</v>
      </c>
      <c r="AX17" s="48"/>
      <c r="AY17" s="46"/>
      <c r="AZ17" s="35">
        <f>IF(AND($C17="",$D17=""),0,IF(AND($C17&gt;$D17,AX17&gt;AY17),'Tabla general'!$L$4,IF(AND($D17&gt;$C17,AY17&gt;AX17),'Tabla general'!$L$4,IF(AND($C17=$D17,AX17=AY17),'Tabla general'!$L$4,0))) + IF(AND($C17=AX17,$D17=AY17),'Tabla general'!$L$5,0))</f>
        <v>0</v>
      </c>
    </row>
    <row r="18" spans="1:52">
      <c r="A18" s="2" t="s">
        <v>95</v>
      </c>
      <c r="B18" s="2" t="s">
        <v>96</v>
      </c>
      <c r="C18" s="49"/>
      <c r="D18" s="50"/>
      <c r="E18" s="38"/>
      <c r="F18" s="38"/>
      <c r="G18" s="39">
        <f>IF(AND($C18="",$D18=""),0,IF(AND($C18&gt;$D18,E18&gt;F18),'Tabla general'!$L$4,IF(AND($D18&gt;$C18,F18&gt;E18),'Tabla general'!$L$4,IF(AND($C18=$D18,E18=F18),'Tabla general'!$L$4,0))) + IF(AND($C18=E18,$D18=F18),'Tabla general'!$L$5,0))</f>
        <v>0</v>
      </c>
      <c r="H18" s="38"/>
      <c r="I18" s="38"/>
      <c r="J18" s="26">
        <f>IF(AND($C18="",$D18=""),0,IF(AND($C18&gt;$D18,H18&gt;I18),'Tabla general'!$L$4,IF(AND($D18&gt;$C18,I18&gt;H18),'Tabla general'!$L$4,IF(AND($C18=$D18,H18=I18),'Tabla general'!$L$4,0))) + IF(AND($C18=H18,$D18=I18),'Tabla general'!$L$5,0))</f>
        <v>0</v>
      </c>
      <c r="K18" s="38"/>
      <c r="L18" s="38"/>
      <c r="M18" s="27">
        <f>IF(AND($C18="",$D18=""),0,IF(AND($C18&gt;$D18,K18&gt;L18),'Tabla general'!$L$4,IF(AND($D18&gt;$C18,L18&gt;K18),'Tabla general'!$L$4,IF(AND($C18=$D18,K18=L18),'Tabla general'!$L$4,0))) + IF(AND($C18=K18,$D18=L18),'Tabla general'!$L$5,0))</f>
        <v>0</v>
      </c>
      <c r="N18" s="38"/>
      <c r="O18" s="38"/>
      <c r="P18" s="28">
        <f>IF(AND($C18="",$D18=""),0,IF(AND($C18&gt;$D18,N18&gt;O18),'Tabla general'!$L$4,IF(AND($D18&gt;$C18,O18&gt;N18),'Tabla general'!$L$4,IF(AND($C18=$D18,N18=O18),'Tabla general'!$L$4,0))) + IF(AND($C18=N18,$D18=O18),'Tabla general'!$L$5,0))</f>
        <v>0</v>
      </c>
      <c r="Q18" s="38"/>
      <c r="R18" s="38"/>
      <c r="S18" s="29">
        <f>IF(AND($C18="",$D18=""),0,IF(AND($C18&gt;$D18,Q18&gt;R18),'Tabla general'!$L$4,IF(AND($D18&gt;$C18,R18&gt;Q18),'Tabla general'!$L$4,IF(AND($C18=$D18,Q18=R18),'Tabla general'!$L$4,0))) + IF(AND($C18=Q18,$D18=R18),'Tabla general'!$L$5,0))</f>
        <v>0</v>
      </c>
      <c r="T18" s="38"/>
      <c r="U18" s="38"/>
      <c r="V18" s="30">
        <f>IF(AND($C18="",$D18=""),0,IF(AND($C18&gt;$D18,T18&gt;U18),'Tabla general'!$L$4,IF(AND($D18&gt;$C18,U18&gt;T18),'Tabla general'!$L$4,IF(AND($C18=$D18,T18=U18),'Tabla general'!$L$4,0))) + IF(AND($C18=T18,$D18=U18),'Tabla general'!$L$5,0))</f>
        <v>0</v>
      </c>
      <c r="W18" s="38"/>
      <c r="X18" s="38"/>
      <c r="Y18" s="31">
        <f>IF(AND($C18="",$D18=""),0,IF(AND($C18&gt;$D18,W18&gt;X18),'Tabla general'!$L$4,IF(AND($D18&gt;$C18,X18&gt;W18),'Tabla general'!$L$4,IF(AND($C18=$D18,W18=X18),'Tabla general'!$L$4,0))) + IF(AND($C18=W18,$D18=X18),'Tabla general'!$L$5,0))</f>
        <v>0</v>
      </c>
      <c r="Z18" s="38"/>
      <c r="AA18" s="38"/>
      <c r="AB18" s="32">
        <f>IF(AND($C18="",$D18=""),0,IF(AND($C18&gt;$D18,Z18&gt;AA18),'Tabla general'!$L$4,IF(AND($D18&gt;$C18,AA18&gt;Z18),'Tabla general'!$L$4,IF(AND($C18=$D18,Z18=AA18),'Tabla general'!$L$4,0))) + IF(AND($C18=Z18,$D18=AA18),'Tabla general'!$L$5,0))</f>
        <v>0</v>
      </c>
      <c r="AC18" s="38"/>
      <c r="AD18" s="38"/>
      <c r="AE18" s="33">
        <f>IF(AND($C18="",$D18=""),0,IF(AND($C18&gt;$D18,AC18&gt;AD18),'Tabla general'!$L$4,IF(AND($D18&gt;$C18,AD18&gt;AC18),'Tabla general'!$L$4,IF(AND($C18=$D18,AC18=AD18),'Tabla general'!$L$4,0))) + IF(AND($C18=AC18,$D18=AD18),'Tabla general'!$L$5,0))</f>
        <v>0</v>
      </c>
      <c r="AF18" s="38"/>
      <c r="AG18" s="38"/>
      <c r="AH18" s="34">
        <f>IF(AND($C18="",$D18=""),0,IF(AND($C18&gt;$D18,AF18&gt;AG18),'Tabla general'!$L$4,IF(AND($D18&gt;$C18,AG18&gt;AF18),'Tabla general'!$L$4,IF(AND($C18=$D18,AF18=AG18),'Tabla general'!$L$4,0))) + IF(AND($C18=AF18,$D18=AG18),'Tabla general'!$L$5,0))</f>
        <v>0</v>
      </c>
      <c r="AI18" s="38"/>
      <c r="AJ18" s="38"/>
      <c r="AK18" s="35">
        <f>IF(AND($C18="",$D18=""),0,IF(AND($C18&gt;$D18,AI18&gt;AJ18),'Tabla general'!$L$4,IF(AND($D18&gt;$C18,AJ18&gt;AI18),'Tabla general'!$L$4,IF(AND($C18=$D18,AI18=AJ18),'Tabla general'!$L$4,0))) + IF(AND($C18=AI18,$D18=AJ18),'Tabla general'!$L$5,0))</f>
        <v>0</v>
      </c>
      <c r="AL18" s="38"/>
      <c r="AM18" s="38"/>
      <c r="AN18" s="36">
        <f>IF(AND($C18="",$D18=""),0,IF(AND($C18&gt;$D18,AL18&gt;AM18),'Tabla general'!$L$4,IF(AND($D18&gt;$C18,AM18&gt;AL18),'Tabla general'!$L$4,IF(AND($C18=$D18,AL18=AM18),'Tabla general'!$L$4,0))) + IF(AND($C18=AL18,$D18=AM18),'Tabla general'!$L$5,0))</f>
        <v>0</v>
      </c>
      <c r="AO18" s="38"/>
      <c r="AP18" s="38"/>
      <c r="AQ18" s="37">
        <f>IF(AND($C18="",$D18=""),0,IF(AND($C18&gt;$D18,AO18&gt;AP18),'Tabla general'!$L$4,IF(AND($D18&gt;$C18,AP18&gt;AO18),'Tabla general'!$L$4,IF(AND($C18=$D18,AO18=AP18),'Tabla general'!$L$4,0))) + IF(AND($C18=AO18,$D18=AP18),'Tabla general'!$L$5,0))</f>
        <v>0</v>
      </c>
      <c r="AR18" s="38"/>
      <c r="AS18" s="38"/>
      <c r="AT18" s="34">
        <f>IF(AND($C18="",$D18=""),0,IF(AND($C18&gt;$D18,AR18&gt;AS18),'Tabla general'!$L$4,IF(AND($D18&gt;$C18,AS18&gt;AR18),'Tabla general'!$L$4,IF(AND($C18=$D18,AR18=AS18),'Tabla general'!$L$4,0))) + IF(AND($C18=AR18,$D18=AS18),'Tabla general'!$L$5,0))</f>
        <v>0</v>
      </c>
      <c r="AU18" s="38"/>
      <c r="AV18" s="38"/>
      <c r="AW18" s="35">
        <f>IF(AND($C18="",$D18=""),0,IF(AND($C18&gt;$D18,AU18&gt;AV18),'Tabla general'!$L$4,IF(AND($D18&gt;$C18,AV18&gt;AU18),'Tabla general'!$L$4,IF(AND($C18=$D18,AU18=AV18),'Tabla general'!$L$4,0))) + IF(AND($C18=AU18,$D18=AV18),'Tabla general'!$L$5,0))</f>
        <v>0</v>
      </c>
      <c r="AX18" s="48"/>
      <c r="AY18" s="46"/>
      <c r="AZ18" s="35">
        <f>IF(AND($C18="",$D18=""),0,IF(AND($C18&gt;$D18,AX18&gt;AY18),'Tabla general'!$L$4,IF(AND($D18&gt;$C18,AY18&gt;AX18),'Tabla general'!$L$4,IF(AND($C18=$D18,AX18=AY18),'Tabla general'!$L$4,0))) + IF(AND($C18=AX18,$D18=AY18),'Tabla general'!$L$5,0))</f>
        <v>0</v>
      </c>
    </row>
    <row r="19" spans="1:52">
      <c r="A19" s="2" t="s">
        <v>97</v>
      </c>
      <c r="B19" s="2" t="s">
        <v>98</v>
      </c>
      <c r="C19" s="49"/>
      <c r="D19" s="50"/>
      <c r="E19" s="38"/>
      <c r="F19" s="38"/>
      <c r="G19" s="39">
        <f>IF(AND($C19="",$D19=""),0,IF(AND($C19&gt;$D19,E19&gt;F19),'Tabla general'!$L$4,IF(AND($D19&gt;$C19,F19&gt;E19),'Tabla general'!$L$4,IF(AND($C19=$D19,E19=F19),'Tabla general'!$L$4,0))) + IF(AND($C19=E19,$D19=F19),'Tabla general'!$L$5,0))</f>
        <v>0</v>
      </c>
      <c r="H19" s="38"/>
      <c r="I19" s="38"/>
      <c r="J19" s="26">
        <f>IF(AND($C19="",$D19=""),0,IF(AND($C19&gt;$D19,H19&gt;I19),'Tabla general'!$L$4,IF(AND($D19&gt;$C19,I19&gt;H19),'Tabla general'!$L$4,IF(AND($C19=$D19,H19=I19),'Tabla general'!$L$4,0))) + IF(AND($C19=H19,$D19=I19),'Tabla general'!$L$5,0))</f>
        <v>0</v>
      </c>
      <c r="K19" s="38"/>
      <c r="L19" s="38"/>
      <c r="M19" s="27">
        <f>IF(AND($C19="",$D19=""),0,IF(AND($C19&gt;$D19,K19&gt;L19),'Tabla general'!$L$4,IF(AND($D19&gt;$C19,L19&gt;K19),'Tabla general'!$L$4,IF(AND($C19=$D19,K19=L19),'Tabla general'!$L$4,0))) + IF(AND($C19=K19,$D19=L19),'Tabla general'!$L$5,0))</f>
        <v>0</v>
      </c>
      <c r="N19" s="38"/>
      <c r="O19" s="38"/>
      <c r="P19" s="28">
        <f>IF(AND($C19="",$D19=""),0,IF(AND($C19&gt;$D19,N19&gt;O19),'Tabla general'!$L$4,IF(AND($D19&gt;$C19,O19&gt;N19),'Tabla general'!$L$4,IF(AND($C19=$D19,N19=O19),'Tabla general'!$L$4,0))) + IF(AND($C19=N19,$D19=O19),'Tabla general'!$L$5,0))</f>
        <v>0</v>
      </c>
      <c r="Q19" s="38"/>
      <c r="R19" s="38"/>
      <c r="S19" s="29">
        <f>IF(AND($C19="",$D19=""),0,IF(AND($C19&gt;$D19,Q19&gt;R19),'Tabla general'!$L$4,IF(AND($D19&gt;$C19,R19&gt;Q19),'Tabla general'!$L$4,IF(AND($C19=$D19,Q19=R19),'Tabla general'!$L$4,0))) + IF(AND($C19=Q19,$D19=R19),'Tabla general'!$L$5,0))</f>
        <v>0</v>
      </c>
      <c r="T19" s="38"/>
      <c r="U19" s="38"/>
      <c r="V19" s="30">
        <f>IF(AND($C19="",$D19=""),0,IF(AND($C19&gt;$D19,T19&gt;U19),'Tabla general'!$L$4,IF(AND($D19&gt;$C19,U19&gt;T19),'Tabla general'!$L$4,IF(AND($C19=$D19,T19=U19),'Tabla general'!$L$4,0))) + IF(AND($C19=T19,$D19=U19),'Tabla general'!$L$5,0))</f>
        <v>0</v>
      </c>
      <c r="W19" s="38"/>
      <c r="X19" s="38"/>
      <c r="Y19" s="31">
        <f>IF(AND($C19="",$D19=""),0,IF(AND($C19&gt;$D19,W19&gt;X19),'Tabla general'!$L$4,IF(AND($D19&gt;$C19,X19&gt;W19),'Tabla general'!$L$4,IF(AND($C19=$D19,W19=X19),'Tabla general'!$L$4,0))) + IF(AND($C19=W19,$D19=X19),'Tabla general'!$L$5,0))</f>
        <v>0</v>
      </c>
      <c r="Z19" s="38"/>
      <c r="AA19" s="38"/>
      <c r="AB19" s="32">
        <f>IF(AND($C19="",$D19=""),0,IF(AND($C19&gt;$D19,Z19&gt;AA19),'Tabla general'!$L$4,IF(AND($D19&gt;$C19,AA19&gt;Z19),'Tabla general'!$L$4,IF(AND($C19=$D19,Z19=AA19),'Tabla general'!$L$4,0))) + IF(AND($C19=Z19,$D19=AA19),'Tabla general'!$L$5,0))</f>
        <v>0</v>
      </c>
      <c r="AC19" s="38"/>
      <c r="AD19" s="38"/>
      <c r="AE19" s="33">
        <f>IF(AND($C19="",$D19=""),0,IF(AND($C19&gt;$D19,AC19&gt;AD19),'Tabla general'!$L$4,IF(AND($D19&gt;$C19,AD19&gt;AC19),'Tabla general'!$L$4,IF(AND($C19=$D19,AC19=AD19),'Tabla general'!$L$4,0))) + IF(AND($C19=AC19,$D19=AD19),'Tabla general'!$L$5,0))</f>
        <v>0</v>
      </c>
      <c r="AF19" s="38"/>
      <c r="AG19" s="38"/>
      <c r="AH19" s="34">
        <f>IF(AND($C19="",$D19=""),0,IF(AND($C19&gt;$D19,AF19&gt;AG19),'Tabla general'!$L$4,IF(AND($D19&gt;$C19,AG19&gt;AF19),'Tabla general'!$L$4,IF(AND($C19=$D19,AF19=AG19),'Tabla general'!$L$4,0))) + IF(AND($C19=AF19,$D19=AG19),'Tabla general'!$L$5,0))</f>
        <v>0</v>
      </c>
      <c r="AI19" s="38"/>
      <c r="AJ19" s="38"/>
      <c r="AK19" s="35">
        <f>IF(AND($C19="",$D19=""),0,IF(AND($C19&gt;$D19,AI19&gt;AJ19),'Tabla general'!$L$4,IF(AND($D19&gt;$C19,AJ19&gt;AI19),'Tabla general'!$L$4,IF(AND($C19=$D19,AI19=AJ19),'Tabla general'!$L$4,0))) + IF(AND($C19=AI19,$D19=AJ19),'Tabla general'!$L$5,0))</f>
        <v>0</v>
      </c>
      <c r="AL19" s="38"/>
      <c r="AM19" s="38"/>
      <c r="AN19" s="36">
        <f>IF(AND($C19="",$D19=""),0,IF(AND($C19&gt;$D19,AL19&gt;AM19),'Tabla general'!$L$4,IF(AND($D19&gt;$C19,AM19&gt;AL19),'Tabla general'!$L$4,IF(AND($C19=$D19,AL19=AM19),'Tabla general'!$L$4,0))) + IF(AND($C19=AL19,$D19=AM19),'Tabla general'!$L$5,0))</f>
        <v>0</v>
      </c>
      <c r="AO19" s="38"/>
      <c r="AP19" s="38"/>
      <c r="AQ19" s="37">
        <f>IF(AND($C19="",$D19=""),0,IF(AND($C19&gt;$D19,AO19&gt;AP19),'Tabla general'!$L$4,IF(AND($D19&gt;$C19,AP19&gt;AO19),'Tabla general'!$L$4,IF(AND($C19=$D19,AO19=AP19),'Tabla general'!$L$4,0))) + IF(AND($C19=AO19,$D19=AP19),'Tabla general'!$L$5,0))</f>
        <v>0</v>
      </c>
      <c r="AR19" s="38"/>
      <c r="AS19" s="38"/>
      <c r="AT19" s="34">
        <f>IF(AND($C19="",$D19=""),0,IF(AND($C19&gt;$D19,AR19&gt;AS19),'Tabla general'!$L$4,IF(AND($D19&gt;$C19,AS19&gt;AR19),'Tabla general'!$L$4,IF(AND($C19=$D19,AR19=AS19),'Tabla general'!$L$4,0))) + IF(AND($C19=AR19,$D19=AS19),'Tabla general'!$L$5,0))</f>
        <v>0</v>
      </c>
      <c r="AU19" s="38"/>
      <c r="AV19" s="38"/>
      <c r="AW19" s="35">
        <f>IF(AND($C19="",$D19=""),0,IF(AND($C19&gt;$D19,AU19&gt;AV19),'Tabla general'!$L$4,IF(AND($D19&gt;$C19,AV19&gt;AU19),'Tabla general'!$L$4,IF(AND($C19=$D19,AU19=AV19),'Tabla general'!$L$4,0))) + IF(AND($C19=AU19,$D19=AV19),'Tabla general'!$L$5,0))</f>
        <v>0</v>
      </c>
      <c r="AX19" s="48"/>
      <c r="AY19" s="46"/>
      <c r="AZ19" s="35">
        <f>IF(AND($C19="",$D19=""),0,IF(AND($C19&gt;$D19,AX19&gt;AY19),'Tabla general'!$L$4,IF(AND($D19&gt;$C19,AY19&gt;AX19),'Tabla general'!$L$4,IF(AND($C19=$D19,AX19=AY19),'Tabla general'!$L$4,0))) + IF(AND($C19=AX19,$D19=AY19),'Tabla general'!$L$5,0))</f>
        <v>0</v>
      </c>
    </row>
    <row r="20" spans="1:52">
      <c r="A20" s="2" t="s">
        <v>99</v>
      </c>
      <c r="B20" s="2" t="s">
        <v>100</v>
      </c>
      <c r="C20" s="49"/>
      <c r="D20" s="50"/>
      <c r="E20" s="38"/>
      <c r="F20" s="38"/>
      <c r="G20" s="39">
        <f>IF(AND($C20="",$D20=""),0,IF(AND($C20&gt;$D20,E20&gt;F20),'Tabla general'!$L$4,IF(AND($D20&gt;$C20,F20&gt;E20),'Tabla general'!$L$4,IF(AND($C20=$D20,E20=F20),'Tabla general'!$L$4,0))) + IF(AND($C20=E20,$D20=F20),'Tabla general'!$L$5,0))</f>
        <v>0</v>
      </c>
      <c r="H20" s="38"/>
      <c r="I20" s="38"/>
      <c r="J20" s="26">
        <f>IF(AND($C20="",$D20=""),0,IF(AND($C20&gt;$D20,H20&gt;I20),'Tabla general'!$L$4,IF(AND($D20&gt;$C20,I20&gt;H20),'Tabla general'!$L$4,IF(AND($C20=$D20,H20=I20),'Tabla general'!$L$4,0))) + IF(AND($C20=H20,$D20=I20),'Tabla general'!$L$5,0))</f>
        <v>0</v>
      </c>
      <c r="K20" s="38"/>
      <c r="L20" s="38"/>
      <c r="M20" s="27">
        <f>IF(AND($C20="",$D20=""),0,IF(AND($C20&gt;$D20,K20&gt;L20),'Tabla general'!$L$4,IF(AND($D20&gt;$C20,L20&gt;K20),'Tabla general'!$L$4,IF(AND($C20=$D20,K20=L20),'Tabla general'!$L$4,0))) + IF(AND($C20=K20,$D20=L20),'Tabla general'!$L$5,0))</f>
        <v>0</v>
      </c>
      <c r="N20" s="38"/>
      <c r="O20" s="38"/>
      <c r="P20" s="28">
        <f>IF(AND($C20="",$D20=""),0,IF(AND($C20&gt;$D20,N20&gt;O20),'Tabla general'!$L$4,IF(AND($D20&gt;$C20,O20&gt;N20),'Tabla general'!$L$4,IF(AND($C20=$D20,N20=O20),'Tabla general'!$L$4,0))) + IF(AND($C20=N20,$D20=O20),'Tabla general'!$L$5,0))</f>
        <v>0</v>
      </c>
      <c r="Q20" s="38"/>
      <c r="R20" s="38"/>
      <c r="S20" s="29">
        <f>IF(AND($C20="",$D20=""),0,IF(AND($C20&gt;$D20,Q20&gt;R20),'Tabla general'!$L$4,IF(AND($D20&gt;$C20,R20&gt;Q20),'Tabla general'!$L$4,IF(AND($C20=$D20,Q20=R20),'Tabla general'!$L$4,0))) + IF(AND($C20=Q20,$D20=R20),'Tabla general'!$L$5,0))</f>
        <v>0</v>
      </c>
      <c r="T20" s="38"/>
      <c r="U20" s="38"/>
      <c r="V20" s="30">
        <f>IF(AND($C20="",$D20=""),0,IF(AND($C20&gt;$D20,T20&gt;U20),'Tabla general'!$L$4,IF(AND($D20&gt;$C20,U20&gt;T20),'Tabla general'!$L$4,IF(AND($C20=$D20,T20=U20),'Tabla general'!$L$4,0))) + IF(AND($C20=T20,$D20=U20),'Tabla general'!$L$5,0))</f>
        <v>0</v>
      </c>
      <c r="W20" s="38"/>
      <c r="X20" s="38"/>
      <c r="Y20" s="31">
        <f>IF(AND($C20="",$D20=""),0,IF(AND($C20&gt;$D20,W20&gt;X20),'Tabla general'!$L$4,IF(AND($D20&gt;$C20,X20&gt;W20),'Tabla general'!$L$4,IF(AND($C20=$D20,W20=X20),'Tabla general'!$L$4,0))) + IF(AND($C20=W20,$D20=X20),'Tabla general'!$L$5,0))</f>
        <v>0</v>
      </c>
      <c r="Z20" s="38"/>
      <c r="AA20" s="38"/>
      <c r="AB20" s="32">
        <f>IF(AND($C20="",$D20=""),0,IF(AND($C20&gt;$D20,Z20&gt;AA20),'Tabla general'!$L$4,IF(AND($D20&gt;$C20,AA20&gt;Z20),'Tabla general'!$L$4,IF(AND($C20=$D20,Z20=AA20),'Tabla general'!$L$4,0))) + IF(AND($C20=Z20,$D20=AA20),'Tabla general'!$L$5,0))</f>
        <v>0</v>
      </c>
      <c r="AC20" s="38"/>
      <c r="AD20" s="38"/>
      <c r="AE20" s="33">
        <f>IF(AND($C20="",$D20=""),0,IF(AND($C20&gt;$D20,AC20&gt;AD20),'Tabla general'!$L$4,IF(AND($D20&gt;$C20,AD20&gt;AC20),'Tabla general'!$L$4,IF(AND($C20=$D20,AC20=AD20),'Tabla general'!$L$4,0))) + IF(AND($C20=AC20,$D20=AD20),'Tabla general'!$L$5,0))</f>
        <v>0</v>
      </c>
      <c r="AF20" s="38"/>
      <c r="AG20" s="38"/>
      <c r="AH20" s="34">
        <f>IF(AND($C20="",$D20=""),0,IF(AND($C20&gt;$D20,AF20&gt;AG20),'Tabla general'!$L$4,IF(AND($D20&gt;$C20,AG20&gt;AF20),'Tabla general'!$L$4,IF(AND($C20=$D20,AF20=AG20),'Tabla general'!$L$4,0))) + IF(AND($C20=AF20,$D20=AG20),'Tabla general'!$L$5,0))</f>
        <v>0</v>
      </c>
      <c r="AI20" s="38"/>
      <c r="AJ20" s="38"/>
      <c r="AK20" s="35">
        <f>IF(AND($C20="",$D20=""),0,IF(AND($C20&gt;$D20,AI20&gt;AJ20),'Tabla general'!$L$4,IF(AND($D20&gt;$C20,AJ20&gt;AI20),'Tabla general'!$L$4,IF(AND($C20=$D20,AI20=AJ20),'Tabla general'!$L$4,0))) + IF(AND($C20=AI20,$D20=AJ20),'Tabla general'!$L$5,0))</f>
        <v>0</v>
      </c>
      <c r="AL20" s="38"/>
      <c r="AM20" s="38"/>
      <c r="AN20" s="36">
        <f>IF(AND($C20="",$D20=""),0,IF(AND($C20&gt;$D20,AL20&gt;AM20),'Tabla general'!$L$4,IF(AND($D20&gt;$C20,AM20&gt;AL20),'Tabla general'!$L$4,IF(AND($C20=$D20,AL20=AM20),'Tabla general'!$L$4,0))) + IF(AND($C20=AL20,$D20=AM20),'Tabla general'!$L$5,0))</f>
        <v>0</v>
      </c>
      <c r="AO20" s="38"/>
      <c r="AP20" s="38"/>
      <c r="AQ20" s="37">
        <f>IF(AND($C20="",$D20=""),0,IF(AND($C20&gt;$D20,AO20&gt;AP20),'Tabla general'!$L$4,IF(AND($D20&gt;$C20,AP20&gt;AO20),'Tabla general'!$L$4,IF(AND($C20=$D20,AO20=AP20),'Tabla general'!$L$4,0))) + IF(AND($C20=AO20,$D20=AP20),'Tabla general'!$L$5,0))</f>
        <v>0</v>
      </c>
      <c r="AR20" s="38"/>
      <c r="AS20" s="38"/>
      <c r="AT20" s="34">
        <f>IF(AND($C20="",$D20=""),0,IF(AND($C20&gt;$D20,AR20&gt;AS20),'Tabla general'!$L$4,IF(AND($D20&gt;$C20,AS20&gt;AR20),'Tabla general'!$L$4,IF(AND($C20=$D20,AR20=AS20),'Tabla general'!$L$4,0))) + IF(AND($C20=AR20,$D20=AS20),'Tabla general'!$L$5,0))</f>
        <v>0</v>
      </c>
      <c r="AU20" s="38"/>
      <c r="AV20" s="38"/>
      <c r="AW20" s="35">
        <f>IF(AND($C20="",$D20=""),0,IF(AND($C20&gt;$D20,AU20&gt;AV20),'Tabla general'!$L$4,IF(AND($D20&gt;$C20,AV20&gt;AU20),'Tabla general'!$L$4,IF(AND($C20=$D20,AU20=AV20),'Tabla general'!$L$4,0))) + IF(AND($C20=AU20,$D20=AV20),'Tabla general'!$L$5,0))</f>
        <v>0</v>
      </c>
      <c r="AX20" s="48"/>
      <c r="AY20" s="46"/>
      <c r="AZ20" s="35">
        <f>IF(AND($C20="",$D20=""),0,IF(AND($C20&gt;$D20,AX20&gt;AY20),'Tabla general'!$L$4,IF(AND($D20&gt;$C20,AY20&gt;AX20),'Tabla general'!$L$4,IF(AND($C20=$D20,AX20=AY20),'Tabla general'!$L$4,0))) + IF(AND($C20=AX20,$D20=AY20),'Tabla general'!$L$5,0))</f>
        <v>0</v>
      </c>
    </row>
    <row r="21" spans="1:52">
      <c r="A21" s="2" t="s">
        <v>101</v>
      </c>
      <c r="B21" s="2" t="s">
        <v>102</v>
      </c>
      <c r="C21" s="49"/>
      <c r="D21" s="50"/>
      <c r="E21" s="38"/>
      <c r="F21" s="38"/>
      <c r="G21" s="39">
        <f>IF(AND($C21="",$D21=""),0,IF(AND($C21&gt;$D21,E21&gt;F21),'Tabla general'!$L$4,IF(AND($D21&gt;$C21,F21&gt;E21),'Tabla general'!$L$4,IF(AND($C21=$D21,E21=F21),'Tabla general'!$L$4,0))) + IF(AND($C21=E21,$D21=F21),'Tabla general'!$L$5,0))</f>
        <v>0</v>
      </c>
      <c r="H21" s="38"/>
      <c r="I21" s="38"/>
      <c r="J21" s="26">
        <f>IF(AND($C21="",$D21=""),0,IF(AND($C21&gt;$D21,H21&gt;I21),'Tabla general'!$L$4,IF(AND($D21&gt;$C21,I21&gt;H21),'Tabla general'!$L$4,IF(AND($C21=$D21,H21=I21),'Tabla general'!$L$4,0))) + IF(AND($C21=H21,$D21=I21),'Tabla general'!$L$5,0))</f>
        <v>0</v>
      </c>
      <c r="K21" s="38"/>
      <c r="L21" s="38"/>
      <c r="M21" s="27">
        <f>IF(AND($C21="",$D21=""),0,IF(AND($C21&gt;$D21,K21&gt;L21),'Tabla general'!$L$4,IF(AND($D21&gt;$C21,L21&gt;K21),'Tabla general'!$L$4,IF(AND($C21=$D21,K21=L21),'Tabla general'!$L$4,0))) + IF(AND($C21=K21,$D21=L21),'Tabla general'!$L$5,0))</f>
        <v>0</v>
      </c>
      <c r="N21" s="38"/>
      <c r="O21" s="38"/>
      <c r="P21" s="28">
        <f>IF(AND($C21="",$D21=""),0,IF(AND($C21&gt;$D21,N21&gt;O21),'Tabla general'!$L$4,IF(AND($D21&gt;$C21,O21&gt;N21),'Tabla general'!$L$4,IF(AND($C21=$D21,N21=O21),'Tabla general'!$L$4,0))) + IF(AND($C21=N21,$D21=O21),'Tabla general'!$L$5,0))</f>
        <v>0</v>
      </c>
      <c r="Q21" s="38"/>
      <c r="R21" s="38"/>
      <c r="S21" s="29">
        <f>IF(AND($C21="",$D21=""),0,IF(AND($C21&gt;$D21,Q21&gt;R21),'Tabla general'!$L$4,IF(AND($D21&gt;$C21,R21&gt;Q21),'Tabla general'!$L$4,IF(AND($C21=$D21,Q21=R21),'Tabla general'!$L$4,0))) + IF(AND($C21=Q21,$D21=R21),'Tabla general'!$L$5,0))</f>
        <v>0</v>
      </c>
      <c r="T21" s="38"/>
      <c r="U21" s="38"/>
      <c r="V21" s="30">
        <f>IF(AND($C21="",$D21=""),0,IF(AND($C21&gt;$D21,T21&gt;U21),'Tabla general'!$L$4,IF(AND($D21&gt;$C21,U21&gt;T21),'Tabla general'!$L$4,IF(AND($C21=$D21,T21=U21),'Tabla general'!$L$4,0))) + IF(AND($C21=T21,$D21=U21),'Tabla general'!$L$5,0))</f>
        <v>0</v>
      </c>
      <c r="W21" s="38"/>
      <c r="X21" s="38"/>
      <c r="Y21" s="31">
        <f>IF(AND($C21="",$D21=""),0,IF(AND($C21&gt;$D21,W21&gt;X21),'Tabla general'!$L$4,IF(AND($D21&gt;$C21,X21&gt;W21),'Tabla general'!$L$4,IF(AND($C21=$D21,W21=X21),'Tabla general'!$L$4,0))) + IF(AND($C21=W21,$D21=X21),'Tabla general'!$L$5,0))</f>
        <v>0</v>
      </c>
      <c r="Z21" s="38"/>
      <c r="AA21" s="38"/>
      <c r="AB21" s="32">
        <f>IF(AND($C21="",$D21=""),0,IF(AND($C21&gt;$D21,Z21&gt;AA21),'Tabla general'!$L$4,IF(AND($D21&gt;$C21,AA21&gt;Z21),'Tabla general'!$L$4,IF(AND($C21=$D21,Z21=AA21),'Tabla general'!$L$4,0))) + IF(AND($C21=Z21,$D21=AA21),'Tabla general'!$L$5,0))</f>
        <v>0</v>
      </c>
      <c r="AC21" s="38"/>
      <c r="AD21" s="38"/>
      <c r="AE21" s="33">
        <f>IF(AND($C21="",$D21=""),0,IF(AND($C21&gt;$D21,AC21&gt;AD21),'Tabla general'!$L$4,IF(AND($D21&gt;$C21,AD21&gt;AC21),'Tabla general'!$L$4,IF(AND($C21=$D21,AC21=AD21),'Tabla general'!$L$4,0))) + IF(AND($C21=AC21,$D21=AD21),'Tabla general'!$L$5,0))</f>
        <v>0</v>
      </c>
      <c r="AF21" s="38"/>
      <c r="AG21" s="38"/>
      <c r="AH21" s="34">
        <f>IF(AND($C21="",$D21=""),0,IF(AND($C21&gt;$D21,AF21&gt;AG21),'Tabla general'!$L$4,IF(AND($D21&gt;$C21,AG21&gt;AF21),'Tabla general'!$L$4,IF(AND($C21=$D21,AF21=AG21),'Tabla general'!$L$4,0))) + IF(AND($C21=AF21,$D21=AG21),'Tabla general'!$L$5,0))</f>
        <v>0</v>
      </c>
      <c r="AI21" s="38"/>
      <c r="AJ21" s="38"/>
      <c r="AK21" s="35">
        <f>IF(AND($C21="",$D21=""),0,IF(AND($C21&gt;$D21,AI21&gt;AJ21),'Tabla general'!$L$4,IF(AND($D21&gt;$C21,AJ21&gt;AI21),'Tabla general'!$L$4,IF(AND($C21=$D21,AI21=AJ21),'Tabla general'!$L$4,0))) + IF(AND($C21=AI21,$D21=AJ21),'Tabla general'!$L$5,0))</f>
        <v>0</v>
      </c>
      <c r="AL21" s="38"/>
      <c r="AM21" s="38"/>
      <c r="AN21" s="36">
        <f>IF(AND($C21="",$D21=""),0,IF(AND($C21&gt;$D21,AL21&gt;AM21),'Tabla general'!$L$4,IF(AND($D21&gt;$C21,AM21&gt;AL21),'Tabla general'!$L$4,IF(AND($C21=$D21,AL21=AM21),'Tabla general'!$L$4,0))) + IF(AND($C21=AL21,$D21=AM21),'Tabla general'!$L$5,0))</f>
        <v>0</v>
      </c>
      <c r="AO21" s="38"/>
      <c r="AP21" s="38"/>
      <c r="AQ21" s="37">
        <f>IF(AND($C21="",$D21=""),0,IF(AND($C21&gt;$D21,AO21&gt;AP21),'Tabla general'!$L$4,IF(AND($D21&gt;$C21,AP21&gt;AO21),'Tabla general'!$L$4,IF(AND($C21=$D21,AO21=AP21),'Tabla general'!$L$4,0))) + IF(AND($C21=AO21,$D21=AP21),'Tabla general'!$L$5,0))</f>
        <v>0</v>
      </c>
      <c r="AR21" s="38"/>
      <c r="AS21" s="38"/>
      <c r="AT21" s="34">
        <f>IF(AND($C21="",$D21=""),0,IF(AND($C21&gt;$D21,AR21&gt;AS21),'Tabla general'!$L$4,IF(AND($D21&gt;$C21,AS21&gt;AR21),'Tabla general'!$L$4,IF(AND($C21=$D21,AR21=AS21),'Tabla general'!$L$4,0))) + IF(AND($C21=AR21,$D21=AS21),'Tabla general'!$L$5,0))</f>
        <v>0</v>
      </c>
      <c r="AU21" s="38"/>
      <c r="AV21" s="38"/>
      <c r="AW21" s="35">
        <f>IF(AND($C21="",$D21=""),0,IF(AND($C21&gt;$D21,AU21&gt;AV21),'Tabla general'!$L$4,IF(AND($D21&gt;$C21,AV21&gt;AU21),'Tabla general'!$L$4,IF(AND($C21=$D21,AU21=AV21),'Tabla general'!$L$4,0))) + IF(AND($C21=AU21,$D21=AV21),'Tabla general'!$L$5,0))</f>
        <v>0</v>
      </c>
      <c r="AX21" s="48"/>
      <c r="AY21" s="46"/>
      <c r="AZ21" s="35">
        <f>IF(AND($C21="",$D21=""),0,IF(AND($C21&gt;$D21,AX21&gt;AY21),'Tabla general'!$L$4,IF(AND($D21&gt;$C21,AY21&gt;AX21),'Tabla general'!$L$4,IF(AND($C21=$D21,AX21=AY21),'Tabla general'!$L$4,0))) + IF(AND($C21=AX21,$D21=AY21),'Tabla general'!$L$5,0))</f>
        <v>0</v>
      </c>
    </row>
    <row r="22" spans="1:52">
      <c r="A22" s="2" t="s">
        <v>71</v>
      </c>
      <c r="B22" s="2" t="s">
        <v>73</v>
      </c>
      <c r="C22" s="49"/>
      <c r="D22" s="50"/>
      <c r="E22" s="38"/>
      <c r="F22" s="38"/>
      <c r="G22" s="39">
        <f>IF(AND($C22="",$D22=""),0,IF(AND($C22&gt;$D22,E22&gt;F22),'Tabla general'!$L$4,IF(AND($D22&gt;$C22,F22&gt;E22),'Tabla general'!$L$4,IF(AND($C22=$D22,E22=F22),'Tabla general'!$L$4,0))) + IF(AND($C22=E22,$D22=F22),'Tabla general'!$L$5,0))</f>
        <v>0</v>
      </c>
      <c r="H22" s="38"/>
      <c r="I22" s="38"/>
      <c r="J22" s="26">
        <f>IF(AND($C22="",$D22=""),0,IF(AND($C22&gt;$D22,H22&gt;I22),'Tabla general'!$L$4,IF(AND($D22&gt;$C22,I22&gt;H22),'Tabla general'!$L$4,IF(AND($C22=$D22,H22=I22),'Tabla general'!$L$4,0))) + IF(AND($C22=H22,$D22=I22),'Tabla general'!$L$5,0))</f>
        <v>0</v>
      </c>
      <c r="K22" s="38"/>
      <c r="L22" s="38"/>
      <c r="M22" s="27">
        <f>IF(AND($C22="",$D22=""),0,IF(AND($C22&gt;$D22,K22&gt;L22),'Tabla general'!$L$4,IF(AND($D22&gt;$C22,L22&gt;K22),'Tabla general'!$L$4,IF(AND($C22=$D22,K22=L22),'Tabla general'!$L$4,0))) + IF(AND($C22=K22,$D22=L22),'Tabla general'!$L$5,0))</f>
        <v>0</v>
      </c>
      <c r="N22" s="38"/>
      <c r="O22" s="38"/>
      <c r="P22" s="28">
        <f>IF(AND($C22="",$D22=""),0,IF(AND($C22&gt;$D22,N22&gt;O22),'Tabla general'!$L$4,IF(AND($D22&gt;$C22,O22&gt;N22),'Tabla general'!$L$4,IF(AND($C22=$D22,N22=O22),'Tabla general'!$L$4,0))) + IF(AND($C22=N22,$D22=O22),'Tabla general'!$L$5,0))</f>
        <v>0</v>
      </c>
      <c r="Q22" s="38"/>
      <c r="R22" s="38"/>
      <c r="S22" s="29">
        <f>IF(AND($C22="",$D22=""),0,IF(AND($C22&gt;$D22,Q22&gt;R22),'Tabla general'!$L$4,IF(AND($D22&gt;$C22,R22&gt;Q22),'Tabla general'!$L$4,IF(AND($C22=$D22,Q22=R22),'Tabla general'!$L$4,0))) + IF(AND($C22=Q22,$D22=R22),'Tabla general'!$L$5,0))</f>
        <v>0</v>
      </c>
      <c r="T22" s="38"/>
      <c r="U22" s="38"/>
      <c r="V22" s="30">
        <f>IF(AND($C22="",$D22=""),0,IF(AND($C22&gt;$D22,T22&gt;U22),'Tabla general'!$L$4,IF(AND($D22&gt;$C22,U22&gt;T22),'Tabla general'!$L$4,IF(AND($C22=$D22,T22=U22),'Tabla general'!$L$4,0))) + IF(AND($C22=T22,$D22=U22),'Tabla general'!$L$5,0))</f>
        <v>0</v>
      </c>
      <c r="W22" s="38"/>
      <c r="X22" s="38"/>
      <c r="Y22" s="31">
        <f>IF(AND($C22="",$D22=""),0,IF(AND($C22&gt;$D22,W22&gt;X22),'Tabla general'!$L$4,IF(AND($D22&gt;$C22,X22&gt;W22),'Tabla general'!$L$4,IF(AND($C22=$D22,W22=X22),'Tabla general'!$L$4,0))) + IF(AND($C22=W22,$D22=X22),'Tabla general'!$L$5,0))</f>
        <v>0</v>
      </c>
      <c r="Z22" s="38"/>
      <c r="AA22" s="38"/>
      <c r="AB22" s="32">
        <f>IF(AND($C22="",$D22=""),0,IF(AND($C22&gt;$D22,Z22&gt;AA22),'Tabla general'!$L$4,IF(AND($D22&gt;$C22,AA22&gt;Z22),'Tabla general'!$L$4,IF(AND($C22=$D22,Z22=AA22),'Tabla general'!$L$4,0))) + IF(AND($C22=Z22,$D22=AA22),'Tabla general'!$L$5,0))</f>
        <v>0</v>
      </c>
      <c r="AC22" s="38"/>
      <c r="AD22" s="38"/>
      <c r="AE22" s="33">
        <f>IF(AND($C22="",$D22=""),0,IF(AND($C22&gt;$D22,AC22&gt;AD22),'Tabla general'!$L$4,IF(AND($D22&gt;$C22,AD22&gt;AC22),'Tabla general'!$L$4,IF(AND($C22=$D22,AC22=AD22),'Tabla general'!$L$4,0))) + IF(AND($C22=AC22,$D22=AD22),'Tabla general'!$L$5,0))</f>
        <v>0</v>
      </c>
      <c r="AF22" s="38"/>
      <c r="AG22" s="38"/>
      <c r="AH22" s="34">
        <f>IF(AND($C22="",$D22=""),0,IF(AND($C22&gt;$D22,AF22&gt;AG22),'Tabla general'!$L$4,IF(AND($D22&gt;$C22,AG22&gt;AF22),'Tabla general'!$L$4,IF(AND($C22=$D22,AF22=AG22),'Tabla general'!$L$4,0))) + IF(AND($C22=AF22,$D22=AG22),'Tabla general'!$L$5,0))</f>
        <v>0</v>
      </c>
      <c r="AI22" s="38"/>
      <c r="AJ22" s="38"/>
      <c r="AK22" s="35">
        <f>IF(AND($C22="",$D22=""),0,IF(AND($C22&gt;$D22,AI22&gt;AJ22),'Tabla general'!$L$4,IF(AND($D22&gt;$C22,AJ22&gt;AI22),'Tabla general'!$L$4,IF(AND($C22=$D22,AI22=AJ22),'Tabla general'!$L$4,0))) + IF(AND($C22=AI22,$D22=AJ22),'Tabla general'!$L$5,0))</f>
        <v>0</v>
      </c>
      <c r="AL22" s="38"/>
      <c r="AM22" s="38"/>
      <c r="AN22" s="36">
        <f>IF(AND($C22="",$D22=""),0,IF(AND($C22&gt;$D22,AL22&gt;AM22),'Tabla general'!$L$4,IF(AND($D22&gt;$C22,AM22&gt;AL22),'Tabla general'!$L$4,IF(AND($C22=$D22,AL22=AM22),'Tabla general'!$L$4,0))) + IF(AND($C22=AL22,$D22=AM22),'Tabla general'!$L$5,0))</f>
        <v>0</v>
      </c>
      <c r="AO22" s="38"/>
      <c r="AP22" s="38"/>
      <c r="AQ22" s="37">
        <f>IF(AND($C22="",$D22=""),0,IF(AND($C22&gt;$D22,AO22&gt;AP22),'Tabla general'!$L$4,IF(AND($D22&gt;$C22,AP22&gt;AO22),'Tabla general'!$L$4,IF(AND($C22=$D22,AO22=AP22),'Tabla general'!$L$4,0))) + IF(AND($C22=AO22,$D22=AP22),'Tabla general'!$L$5,0))</f>
        <v>0</v>
      </c>
      <c r="AR22" s="38"/>
      <c r="AS22" s="38"/>
      <c r="AT22" s="34">
        <f>IF(AND($C22="",$D22=""),0,IF(AND($C22&gt;$D22,AR22&gt;AS22),'Tabla general'!$L$4,IF(AND($D22&gt;$C22,AS22&gt;AR22),'Tabla general'!$L$4,IF(AND($C22=$D22,AR22=AS22),'Tabla general'!$L$4,0))) + IF(AND($C22=AR22,$D22=AS22),'Tabla general'!$L$5,0))</f>
        <v>0</v>
      </c>
      <c r="AU22" s="38"/>
      <c r="AV22" s="38"/>
      <c r="AW22" s="35">
        <f>IF(AND($C22="",$D22=""),0,IF(AND($C22&gt;$D22,AU22&gt;AV22),'Tabla general'!$L$4,IF(AND($D22&gt;$C22,AV22&gt;AU22),'Tabla general'!$L$4,IF(AND($C22=$D22,AU22=AV22),'Tabla general'!$L$4,0))) + IF(AND($C22=AU22,$D22=AV22),'Tabla general'!$L$5,0))</f>
        <v>0</v>
      </c>
      <c r="AX22" s="48"/>
      <c r="AY22" s="46"/>
      <c r="AZ22" s="35">
        <f>IF(AND($C22="",$D22=""),0,IF(AND($C22&gt;$D22,AX22&gt;AY22),'Tabla general'!$L$4,IF(AND($D22&gt;$C22,AY22&gt;AX22),'Tabla general'!$L$4,IF(AND($C22=$D22,AX22=AY22),'Tabla general'!$L$4,0))) + IF(AND($C22=AX22,$D22=AY22),'Tabla general'!$L$5,0))</f>
        <v>0</v>
      </c>
    </row>
    <row r="23" spans="1:52">
      <c r="A23" s="2" t="s">
        <v>77</v>
      </c>
      <c r="B23" s="2" t="s">
        <v>75</v>
      </c>
      <c r="C23" s="49"/>
      <c r="D23" s="50"/>
      <c r="E23" s="38"/>
      <c r="F23" s="38"/>
      <c r="G23" s="39">
        <f>IF(AND($C23="",$D23=""),0,IF(AND($C23&gt;$D23,E23&gt;F23),'Tabla general'!$L$4,IF(AND($D23&gt;$C23,F23&gt;E23),'Tabla general'!$L$4,IF(AND($C23=$D23,E23=F23),'Tabla general'!$L$4,0))) + IF(AND($C23=E23,$D23=F23),'Tabla general'!$L$5,0))</f>
        <v>0</v>
      </c>
      <c r="H23" s="38"/>
      <c r="I23" s="38"/>
      <c r="J23" s="26">
        <f>IF(AND($C23="",$D23=""),0,IF(AND($C23&gt;$D23,H23&gt;I23),'Tabla general'!$L$4,IF(AND($D23&gt;$C23,I23&gt;H23),'Tabla general'!$L$4,IF(AND($C23=$D23,H23=I23),'Tabla general'!$L$4,0))) + IF(AND($C23=H23,$D23=I23),'Tabla general'!$L$5,0))</f>
        <v>0</v>
      </c>
      <c r="K23" s="38"/>
      <c r="L23" s="38"/>
      <c r="M23" s="27">
        <f>IF(AND($C23="",$D23=""),0,IF(AND($C23&gt;$D23,K23&gt;L23),'Tabla general'!$L$4,IF(AND($D23&gt;$C23,L23&gt;K23),'Tabla general'!$L$4,IF(AND($C23=$D23,K23=L23),'Tabla general'!$L$4,0))) + IF(AND($C23=K23,$D23=L23),'Tabla general'!$L$5,0))</f>
        <v>0</v>
      </c>
      <c r="N23" s="38"/>
      <c r="O23" s="38"/>
      <c r="P23" s="28">
        <f>IF(AND($C23="",$D23=""),0,IF(AND($C23&gt;$D23,N23&gt;O23),'Tabla general'!$L$4,IF(AND($D23&gt;$C23,O23&gt;N23),'Tabla general'!$L$4,IF(AND($C23=$D23,N23=O23),'Tabla general'!$L$4,0))) + IF(AND($C23=N23,$D23=O23),'Tabla general'!$L$5,0))</f>
        <v>0</v>
      </c>
      <c r="Q23" s="38"/>
      <c r="R23" s="38"/>
      <c r="S23" s="29">
        <f>IF(AND($C23="",$D23=""),0,IF(AND($C23&gt;$D23,Q23&gt;R23),'Tabla general'!$L$4,IF(AND($D23&gt;$C23,R23&gt;Q23),'Tabla general'!$L$4,IF(AND($C23=$D23,Q23=R23),'Tabla general'!$L$4,0))) + IF(AND($C23=Q23,$D23=R23),'Tabla general'!$L$5,0))</f>
        <v>0</v>
      </c>
      <c r="T23" s="38"/>
      <c r="U23" s="38"/>
      <c r="V23" s="30">
        <f>IF(AND($C23="",$D23=""),0,IF(AND($C23&gt;$D23,T23&gt;U23),'Tabla general'!$L$4,IF(AND($D23&gt;$C23,U23&gt;T23),'Tabla general'!$L$4,IF(AND($C23=$D23,T23=U23),'Tabla general'!$L$4,0))) + IF(AND($C23=T23,$D23=U23),'Tabla general'!$L$5,0))</f>
        <v>0</v>
      </c>
      <c r="W23" s="38"/>
      <c r="X23" s="38"/>
      <c r="Y23" s="31">
        <f>IF(AND($C23="",$D23=""),0,IF(AND($C23&gt;$D23,W23&gt;X23),'Tabla general'!$L$4,IF(AND($D23&gt;$C23,X23&gt;W23),'Tabla general'!$L$4,IF(AND($C23=$D23,W23=X23),'Tabla general'!$L$4,0))) + IF(AND($C23=W23,$D23=X23),'Tabla general'!$L$5,0))</f>
        <v>0</v>
      </c>
      <c r="Z23" s="38"/>
      <c r="AA23" s="38"/>
      <c r="AB23" s="32">
        <f>IF(AND($C23="",$D23=""),0,IF(AND($C23&gt;$D23,Z23&gt;AA23),'Tabla general'!$L$4,IF(AND($D23&gt;$C23,AA23&gt;Z23),'Tabla general'!$L$4,IF(AND($C23=$D23,Z23=AA23),'Tabla general'!$L$4,0))) + IF(AND($C23=Z23,$D23=AA23),'Tabla general'!$L$5,0))</f>
        <v>0</v>
      </c>
      <c r="AC23" s="38"/>
      <c r="AD23" s="38"/>
      <c r="AE23" s="33">
        <f>IF(AND($C23="",$D23=""),0,IF(AND($C23&gt;$D23,AC23&gt;AD23),'Tabla general'!$L$4,IF(AND($D23&gt;$C23,AD23&gt;AC23),'Tabla general'!$L$4,IF(AND($C23=$D23,AC23=AD23),'Tabla general'!$L$4,0))) + IF(AND($C23=AC23,$D23=AD23),'Tabla general'!$L$5,0))</f>
        <v>0</v>
      </c>
      <c r="AF23" s="38"/>
      <c r="AG23" s="38"/>
      <c r="AH23" s="34">
        <f>IF(AND($C23="",$D23=""),0,IF(AND($C23&gt;$D23,AF23&gt;AG23),'Tabla general'!$L$4,IF(AND($D23&gt;$C23,AG23&gt;AF23),'Tabla general'!$L$4,IF(AND($C23=$D23,AF23=AG23),'Tabla general'!$L$4,0))) + IF(AND($C23=AF23,$D23=AG23),'Tabla general'!$L$5,0))</f>
        <v>0</v>
      </c>
      <c r="AI23" s="38"/>
      <c r="AJ23" s="38"/>
      <c r="AK23" s="35">
        <f>IF(AND($C23="",$D23=""),0,IF(AND($C23&gt;$D23,AI23&gt;AJ23),'Tabla general'!$L$4,IF(AND($D23&gt;$C23,AJ23&gt;AI23),'Tabla general'!$L$4,IF(AND($C23=$D23,AI23=AJ23),'Tabla general'!$L$4,0))) + IF(AND($C23=AI23,$D23=AJ23),'Tabla general'!$L$5,0))</f>
        <v>0</v>
      </c>
      <c r="AL23" s="38"/>
      <c r="AM23" s="38"/>
      <c r="AN23" s="36">
        <f>IF(AND($C23="",$D23=""),0,IF(AND($C23&gt;$D23,AL23&gt;AM23),'Tabla general'!$L$4,IF(AND($D23&gt;$C23,AM23&gt;AL23),'Tabla general'!$L$4,IF(AND($C23=$D23,AL23=AM23),'Tabla general'!$L$4,0))) + IF(AND($C23=AL23,$D23=AM23),'Tabla general'!$L$5,0))</f>
        <v>0</v>
      </c>
      <c r="AO23" s="38"/>
      <c r="AP23" s="38"/>
      <c r="AQ23" s="37">
        <f>IF(AND($C23="",$D23=""),0,IF(AND($C23&gt;$D23,AO23&gt;AP23),'Tabla general'!$L$4,IF(AND($D23&gt;$C23,AP23&gt;AO23),'Tabla general'!$L$4,IF(AND($C23=$D23,AO23=AP23),'Tabla general'!$L$4,0))) + IF(AND($C23=AO23,$D23=AP23),'Tabla general'!$L$5,0))</f>
        <v>0</v>
      </c>
      <c r="AR23" s="38"/>
      <c r="AS23" s="38"/>
      <c r="AT23" s="34">
        <f>IF(AND($C23="",$D23=""),0,IF(AND($C23&gt;$D23,AR23&gt;AS23),'Tabla general'!$L$4,IF(AND($D23&gt;$C23,AS23&gt;AR23),'Tabla general'!$L$4,IF(AND($C23=$D23,AR23=AS23),'Tabla general'!$L$4,0))) + IF(AND($C23=AR23,$D23=AS23),'Tabla general'!$L$5,0))</f>
        <v>0</v>
      </c>
      <c r="AU23" s="38"/>
      <c r="AV23" s="38"/>
      <c r="AW23" s="35">
        <f>IF(AND($C23="",$D23=""),0,IF(AND($C23&gt;$D23,AU23&gt;AV23),'Tabla general'!$L$4,IF(AND($D23&gt;$C23,AV23&gt;AU23),'Tabla general'!$L$4,IF(AND($C23=$D23,AU23=AV23),'Tabla general'!$L$4,0))) + IF(AND($C23=AU23,$D23=AV23),'Tabla general'!$L$5,0))</f>
        <v>0</v>
      </c>
      <c r="AX23" s="48"/>
      <c r="AY23" s="46"/>
      <c r="AZ23" s="35">
        <f>IF(AND($C23="",$D23=""),0,IF(AND($C23&gt;$D23,AX23&gt;AY23),'Tabla general'!$L$4,IF(AND($D23&gt;$C23,AY23&gt;AX23),'Tabla general'!$L$4,IF(AND($C23=$D23,AX23=AY23),'Tabla general'!$L$4,0))) + IF(AND($C23=AX23,$D23=AY23),'Tabla general'!$L$5,0))</f>
        <v>0</v>
      </c>
    </row>
    <row r="24" spans="1:52">
      <c r="A24" s="2" t="s">
        <v>74</v>
      </c>
      <c r="B24" s="2" t="s">
        <v>72</v>
      </c>
      <c r="C24" s="49"/>
      <c r="D24" s="50"/>
      <c r="E24" s="38"/>
      <c r="F24" s="38"/>
      <c r="G24" s="39">
        <f>IF(AND($C24="",$D24=""),0,IF(AND($C24&gt;$D24,E24&gt;F24),'Tabla general'!$L$4,IF(AND($D24&gt;$C24,F24&gt;E24),'Tabla general'!$L$4,IF(AND($C24=$D24,E24=F24),'Tabla general'!$L$4,0))) + IF(AND($C24=E24,$D24=F24),'Tabla general'!$L$5,0))</f>
        <v>0</v>
      </c>
      <c r="H24" s="38"/>
      <c r="I24" s="38"/>
      <c r="J24" s="26">
        <f>IF(AND($C24="",$D24=""),0,IF(AND($C24&gt;$D24,H24&gt;I24),'Tabla general'!$L$4,IF(AND($D24&gt;$C24,I24&gt;H24),'Tabla general'!$L$4,IF(AND($C24=$D24,H24=I24),'Tabla general'!$L$4,0))) + IF(AND($C24=H24,$D24=I24),'Tabla general'!$L$5,0))</f>
        <v>0</v>
      </c>
      <c r="K24" s="38"/>
      <c r="L24" s="38"/>
      <c r="M24" s="27">
        <f>IF(AND($C24="",$D24=""),0,IF(AND($C24&gt;$D24,K24&gt;L24),'Tabla general'!$L$4,IF(AND($D24&gt;$C24,L24&gt;K24),'Tabla general'!$L$4,IF(AND($C24=$D24,K24=L24),'Tabla general'!$L$4,0))) + IF(AND($C24=K24,$D24=L24),'Tabla general'!$L$5,0))</f>
        <v>0</v>
      </c>
      <c r="N24" s="38"/>
      <c r="O24" s="38"/>
      <c r="P24" s="28">
        <f>IF(AND($C24="",$D24=""),0,IF(AND($C24&gt;$D24,N24&gt;O24),'Tabla general'!$L$4,IF(AND($D24&gt;$C24,O24&gt;N24),'Tabla general'!$L$4,IF(AND($C24=$D24,N24=O24),'Tabla general'!$L$4,0))) + IF(AND($C24=N24,$D24=O24),'Tabla general'!$L$5,0))</f>
        <v>0</v>
      </c>
      <c r="Q24" s="38"/>
      <c r="R24" s="38"/>
      <c r="S24" s="29">
        <f>IF(AND($C24="",$D24=""),0,IF(AND($C24&gt;$D24,Q24&gt;R24),'Tabla general'!$L$4,IF(AND($D24&gt;$C24,R24&gt;Q24),'Tabla general'!$L$4,IF(AND($C24=$D24,Q24=R24),'Tabla general'!$L$4,0))) + IF(AND($C24=Q24,$D24=R24),'Tabla general'!$L$5,0))</f>
        <v>0</v>
      </c>
      <c r="T24" s="38"/>
      <c r="U24" s="38"/>
      <c r="V24" s="30">
        <f>IF(AND($C24="",$D24=""),0,IF(AND($C24&gt;$D24,T24&gt;U24),'Tabla general'!$L$4,IF(AND($D24&gt;$C24,U24&gt;T24),'Tabla general'!$L$4,IF(AND($C24=$D24,T24=U24),'Tabla general'!$L$4,0))) + IF(AND($C24=T24,$D24=U24),'Tabla general'!$L$5,0))</f>
        <v>0</v>
      </c>
      <c r="W24" s="38"/>
      <c r="X24" s="38"/>
      <c r="Y24" s="31">
        <f>IF(AND($C24="",$D24=""),0,IF(AND($C24&gt;$D24,W24&gt;X24),'Tabla general'!$L$4,IF(AND($D24&gt;$C24,X24&gt;W24),'Tabla general'!$L$4,IF(AND($C24=$D24,W24=X24),'Tabla general'!$L$4,0))) + IF(AND($C24=W24,$D24=X24),'Tabla general'!$L$5,0))</f>
        <v>0</v>
      </c>
      <c r="Z24" s="38"/>
      <c r="AA24" s="38"/>
      <c r="AB24" s="32">
        <f>IF(AND($C24="",$D24=""),0,IF(AND($C24&gt;$D24,Z24&gt;AA24),'Tabla general'!$L$4,IF(AND($D24&gt;$C24,AA24&gt;Z24),'Tabla general'!$L$4,IF(AND($C24=$D24,Z24=AA24),'Tabla general'!$L$4,0))) + IF(AND($C24=Z24,$D24=AA24),'Tabla general'!$L$5,0))</f>
        <v>0</v>
      </c>
      <c r="AC24" s="38"/>
      <c r="AD24" s="38"/>
      <c r="AE24" s="33">
        <f>IF(AND($C24="",$D24=""),0,IF(AND($C24&gt;$D24,AC24&gt;AD24),'Tabla general'!$L$4,IF(AND($D24&gt;$C24,AD24&gt;AC24),'Tabla general'!$L$4,IF(AND($C24=$D24,AC24=AD24),'Tabla general'!$L$4,0))) + IF(AND($C24=AC24,$D24=AD24),'Tabla general'!$L$5,0))</f>
        <v>0</v>
      </c>
      <c r="AF24" s="38"/>
      <c r="AG24" s="38"/>
      <c r="AH24" s="34">
        <f>IF(AND($C24="",$D24=""),0,IF(AND($C24&gt;$D24,AF24&gt;AG24),'Tabla general'!$L$4,IF(AND($D24&gt;$C24,AG24&gt;AF24),'Tabla general'!$L$4,IF(AND($C24=$D24,AF24=AG24),'Tabla general'!$L$4,0))) + IF(AND($C24=AF24,$D24=AG24),'Tabla general'!$L$5,0))</f>
        <v>0</v>
      </c>
      <c r="AI24" s="38"/>
      <c r="AJ24" s="38"/>
      <c r="AK24" s="35">
        <f>IF(AND($C24="",$D24=""),0,IF(AND($C24&gt;$D24,AI24&gt;AJ24),'Tabla general'!$L$4,IF(AND($D24&gt;$C24,AJ24&gt;AI24),'Tabla general'!$L$4,IF(AND($C24=$D24,AI24=AJ24),'Tabla general'!$L$4,0))) + IF(AND($C24=AI24,$D24=AJ24),'Tabla general'!$L$5,0))</f>
        <v>0</v>
      </c>
      <c r="AL24" s="38"/>
      <c r="AM24" s="38"/>
      <c r="AN24" s="36">
        <f>IF(AND($C24="",$D24=""),0,IF(AND($C24&gt;$D24,AL24&gt;AM24),'Tabla general'!$L$4,IF(AND($D24&gt;$C24,AM24&gt;AL24),'Tabla general'!$L$4,IF(AND($C24=$D24,AL24=AM24),'Tabla general'!$L$4,0))) + IF(AND($C24=AL24,$D24=AM24),'Tabla general'!$L$5,0))</f>
        <v>0</v>
      </c>
      <c r="AO24" s="38"/>
      <c r="AP24" s="38"/>
      <c r="AQ24" s="37">
        <f>IF(AND($C24="",$D24=""),0,IF(AND($C24&gt;$D24,AO24&gt;AP24),'Tabla general'!$L$4,IF(AND($D24&gt;$C24,AP24&gt;AO24),'Tabla general'!$L$4,IF(AND($C24=$D24,AO24=AP24),'Tabla general'!$L$4,0))) + IF(AND($C24=AO24,$D24=AP24),'Tabla general'!$L$5,0))</f>
        <v>0</v>
      </c>
      <c r="AR24" s="38"/>
      <c r="AS24" s="38"/>
      <c r="AT24" s="34">
        <f>IF(AND($C24="",$D24=""),0,IF(AND($C24&gt;$D24,AR24&gt;AS24),'Tabla general'!$L$4,IF(AND($D24&gt;$C24,AS24&gt;AR24),'Tabla general'!$L$4,IF(AND($C24=$D24,AR24=AS24),'Tabla general'!$L$4,0))) + IF(AND($C24=AR24,$D24=AS24),'Tabla general'!$L$5,0))</f>
        <v>0</v>
      </c>
      <c r="AU24" s="38"/>
      <c r="AV24" s="38"/>
      <c r="AW24" s="35">
        <f>IF(AND($C24="",$D24=""),0,IF(AND($C24&gt;$D24,AU24&gt;AV24),'Tabla general'!$L$4,IF(AND($D24&gt;$C24,AV24&gt;AU24),'Tabla general'!$L$4,IF(AND($C24=$D24,AU24=AV24),'Tabla general'!$L$4,0))) + IF(AND($C24=AU24,$D24=AV24),'Tabla general'!$L$5,0))</f>
        <v>0</v>
      </c>
      <c r="AX24" s="48"/>
      <c r="AY24" s="46"/>
      <c r="AZ24" s="35">
        <f>IF(AND($C24="",$D24=""),0,IF(AND($C24&gt;$D24,AX24&gt;AY24),'Tabla general'!$L$4,IF(AND($D24&gt;$C24,AY24&gt;AX24),'Tabla general'!$L$4,IF(AND($C24=$D24,AX24=AY24),'Tabla general'!$L$4,0))) + IF(AND($C24=AX24,$D24=AY24),'Tabla general'!$L$5,0))</f>
        <v>0</v>
      </c>
    </row>
    <row r="25" spans="1:52">
      <c r="A25" s="2" t="s">
        <v>76</v>
      </c>
      <c r="B25" s="2" t="s">
        <v>78</v>
      </c>
      <c r="C25" s="49"/>
      <c r="D25" s="50"/>
      <c r="E25" s="38"/>
      <c r="F25" s="38"/>
      <c r="G25" s="39">
        <f>IF(AND($C25="",$D25=""),0,IF(AND($C25&gt;$D25,E25&gt;F25),'Tabla general'!$L$4,IF(AND($D25&gt;$C25,F25&gt;E25),'Tabla general'!$L$4,IF(AND($C25=$D25,E25=F25),'Tabla general'!$L$4,0))) + IF(AND($C25=E25,$D25=F25),'Tabla general'!$L$5,0))</f>
        <v>0</v>
      </c>
      <c r="H25" s="38"/>
      <c r="I25" s="38"/>
      <c r="J25" s="26">
        <f>IF(AND($C25="",$D25=""),0,IF(AND($C25&gt;$D25,H25&gt;I25),'Tabla general'!$L$4,IF(AND($D25&gt;$C25,I25&gt;H25),'Tabla general'!$L$4,IF(AND($C25=$D25,H25=I25),'Tabla general'!$L$4,0))) + IF(AND($C25=H25,$D25=I25),'Tabla general'!$L$5,0))</f>
        <v>0</v>
      </c>
      <c r="K25" s="38"/>
      <c r="L25" s="38"/>
      <c r="M25" s="27">
        <f>IF(AND($C25="",$D25=""),0,IF(AND($C25&gt;$D25,K25&gt;L25),'Tabla general'!$L$4,IF(AND($D25&gt;$C25,L25&gt;K25),'Tabla general'!$L$4,IF(AND($C25=$D25,K25=L25),'Tabla general'!$L$4,0))) + IF(AND($C25=K25,$D25=L25),'Tabla general'!$L$5,0))</f>
        <v>0</v>
      </c>
      <c r="N25" s="38"/>
      <c r="O25" s="38"/>
      <c r="P25" s="28">
        <f>IF(AND($C25="",$D25=""),0,IF(AND($C25&gt;$D25,N25&gt;O25),'Tabla general'!$L$4,IF(AND($D25&gt;$C25,O25&gt;N25),'Tabla general'!$L$4,IF(AND($C25=$D25,N25=O25),'Tabla general'!$L$4,0))) + IF(AND($C25=N25,$D25=O25),'Tabla general'!$L$5,0))</f>
        <v>0</v>
      </c>
      <c r="Q25" s="38"/>
      <c r="R25" s="38"/>
      <c r="S25" s="29">
        <f>IF(AND($C25="",$D25=""),0,IF(AND($C25&gt;$D25,Q25&gt;R25),'Tabla general'!$L$4,IF(AND($D25&gt;$C25,R25&gt;Q25),'Tabla general'!$L$4,IF(AND($C25=$D25,Q25=R25),'Tabla general'!$L$4,0))) + IF(AND($C25=Q25,$D25=R25),'Tabla general'!$L$5,0))</f>
        <v>0</v>
      </c>
      <c r="T25" s="38"/>
      <c r="U25" s="38"/>
      <c r="V25" s="30">
        <f>IF(AND($C25="",$D25=""),0,IF(AND($C25&gt;$D25,T25&gt;U25),'Tabla general'!$L$4,IF(AND($D25&gt;$C25,U25&gt;T25),'Tabla general'!$L$4,IF(AND($C25=$D25,T25=U25),'Tabla general'!$L$4,0))) + IF(AND($C25=T25,$D25=U25),'Tabla general'!$L$5,0))</f>
        <v>0</v>
      </c>
      <c r="W25" s="38"/>
      <c r="X25" s="38"/>
      <c r="Y25" s="31">
        <f>IF(AND($C25="",$D25=""),0,IF(AND($C25&gt;$D25,W25&gt;X25),'Tabla general'!$L$4,IF(AND($D25&gt;$C25,X25&gt;W25),'Tabla general'!$L$4,IF(AND($C25=$D25,W25=X25),'Tabla general'!$L$4,0))) + IF(AND($C25=W25,$D25=X25),'Tabla general'!$L$5,0))</f>
        <v>0</v>
      </c>
      <c r="Z25" s="38"/>
      <c r="AA25" s="38"/>
      <c r="AB25" s="32">
        <f>IF(AND($C25="",$D25=""),0,IF(AND($C25&gt;$D25,Z25&gt;AA25),'Tabla general'!$L$4,IF(AND($D25&gt;$C25,AA25&gt;Z25),'Tabla general'!$L$4,IF(AND($C25=$D25,Z25=AA25),'Tabla general'!$L$4,0))) + IF(AND($C25=Z25,$D25=AA25),'Tabla general'!$L$5,0))</f>
        <v>0</v>
      </c>
      <c r="AC25" s="38"/>
      <c r="AD25" s="38"/>
      <c r="AE25" s="33">
        <f>IF(AND($C25="",$D25=""),0,IF(AND($C25&gt;$D25,AC25&gt;AD25),'Tabla general'!$L$4,IF(AND($D25&gt;$C25,AD25&gt;AC25),'Tabla general'!$L$4,IF(AND($C25=$D25,AC25=AD25),'Tabla general'!$L$4,0))) + IF(AND($C25=AC25,$D25=AD25),'Tabla general'!$L$5,0))</f>
        <v>0</v>
      </c>
      <c r="AF25" s="38"/>
      <c r="AG25" s="38"/>
      <c r="AH25" s="34">
        <f>IF(AND($C25="",$D25=""),0,IF(AND($C25&gt;$D25,AF25&gt;AG25),'Tabla general'!$L$4,IF(AND($D25&gt;$C25,AG25&gt;AF25),'Tabla general'!$L$4,IF(AND($C25=$D25,AF25=AG25),'Tabla general'!$L$4,0))) + IF(AND($C25=AF25,$D25=AG25),'Tabla general'!$L$5,0))</f>
        <v>0</v>
      </c>
      <c r="AI25" s="38"/>
      <c r="AJ25" s="38"/>
      <c r="AK25" s="35">
        <f>IF(AND($C25="",$D25=""),0,IF(AND($C25&gt;$D25,AI25&gt;AJ25),'Tabla general'!$L$4,IF(AND($D25&gt;$C25,AJ25&gt;AI25),'Tabla general'!$L$4,IF(AND($C25=$D25,AI25=AJ25),'Tabla general'!$L$4,0))) + IF(AND($C25=AI25,$D25=AJ25),'Tabla general'!$L$5,0))</f>
        <v>0</v>
      </c>
      <c r="AL25" s="38"/>
      <c r="AM25" s="38"/>
      <c r="AN25" s="36">
        <f>IF(AND($C25="",$D25=""),0,IF(AND($C25&gt;$D25,AL25&gt;AM25),'Tabla general'!$L$4,IF(AND($D25&gt;$C25,AM25&gt;AL25),'Tabla general'!$L$4,IF(AND($C25=$D25,AL25=AM25),'Tabla general'!$L$4,0))) + IF(AND($C25=AL25,$D25=AM25),'Tabla general'!$L$5,0))</f>
        <v>0</v>
      </c>
      <c r="AO25" s="38"/>
      <c r="AP25" s="38"/>
      <c r="AQ25" s="37">
        <f>IF(AND($C25="",$D25=""),0,IF(AND($C25&gt;$D25,AO25&gt;AP25),'Tabla general'!$L$4,IF(AND($D25&gt;$C25,AP25&gt;AO25),'Tabla general'!$L$4,IF(AND($C25=$D25,AO25=AP25),'Tabla general'!$L$4,0))) + IF(AND($C25=AO25,$D25=AP25),'Tabla general'!$L$5,0))</f>
        <v>0</v>
      </c>
      <c r="AR25" s="38"/>
      <c r="AS25" s="38"/>
      <c r="AT25" s="34">
        <f>IF(AND($C25="",$D25=""),0,IF(AND($C25&gt;$D25,AR25&gt;AS25),'Tabla general'!$L$4,IF(AND($D25&gt;$C25,AS25&gt;AR25),'Tabla general'!$L$4,IF(AND($C25=$D25,AR25=AS25),'Tabla general'!$L$4,0))) + IF(AND($C25=AR25,$D25=AS25),'Tabla general'!$L$5,0))</f>
        <v>0</v>
      </c>
      <c r="AU25" s="38"/>
      <c r="AV25" s="38"/>
      <c r="AW25" s="35">
        <f>IF(AND($C25="",$D25=""),0,IF(AND($C25&gt;$D25,AU25&gt;AV25),'Tabla general'!$L$4,IF(AND($D25&gt;$C25,AV25&gt;AU25),'Tabla general'!$L$4,IF(AND($C25=$D25,AU25=AV25),'Tabla general'!$L$4,0))) + IF(AND($C25=AU25,$D25=AV25),'Tabla general'!$L$5,0))</f>
        <v>0</v>
      </c>
      <c r="AX25" s="48"/>
      <c r="AY25" s="46"/>
      <c r="AZ25" s="35">
        <f>IF(AND($C25="",$D25=""),0,IF(AND($C25&gt;$D25,AX25&gt;AY25),'Tabla general'!$L$4,IF(AND($D25&gt;$C25,AY25&gt;AX25),'Tabla general'!$L$4,IF(AND($C25=$D25,AX25=AY25),'Tabla general'!$L$4,0))) + IF(AND($C25=AX25,$D25=AY25),'Tabla general'!$L$5,0))</f>
        <v>0</v>
      </c>
    </row>
    <row r="26" spans="1:52">
      <c r="A26" s="2" t="s">
        <v>84</v>
      </c>
      <c r="B26" s="2" t="s">
        <v>80</v>
      </c>
      <c r="C26" s="49"/>
      <c r="D26" s="50"/>
      <c r="E26" s="38"/>
      <c r="F26" s="38"/>
      <c r="G26" s="39">
        <f>IF(AND($C26="",$D26=""),0,IF(AND($C26&gt;$D26,E26&gt;F26),'Tabla general'!$L$4,IF(AND($D26&gt;$C26,F26&gt;E26),'Tabla general'!$L$4,IF(AND($C26=$D26,E26=F26),'Tabla general'!$L$4,0))) + IF(AND($C26=E26,$D26=F26),'Tabla general'!$L$5,0))</f>
        <v>0</v>
      </c>
      <c r="H26" s="38"/>
      <c r="I26" s="38"/>
      <c r="J26" s="26">
        <f>IF(AND($C26="",$D26=""),0,IF(AND($C26&gt;$D26,H26&gt;I26),'Tabla general'!$L$4,IF(AND($D26&gt;$C26,I26&gt;H26),'Tabla general'!$L$4,IF(AND($C26=$D26,H26=I26),'Tabla general'!$L$4,0))) + IF(AND($C26=H26,$D26=I26),'Tabla general'!$L$5,0))</f>
        <v>0</v>
      </c>
      <c r="K26" s="38"/>
      <c r="L26" s="38"/>
      <c r="M26" s="27">
        <f>IF(AND($C26="",$D26=""),0,IF(AND($C26&gt;$D26,K26&gt;L26),'Tabla general'!$L$4,IF(AND($D26&gt;$C26,L26&gt;K26),'Tabla general'!$L$4,IF(AND($C26=$D26,K26=L26),'Tabla general'!$L$4,0))) + IF(AND($C26=K26,$D26=L26),'Tabla general'!$L$5,0))</f>
        <v>0</v>
      </c>
      <c r="N26" s="38"/>
      <c r="O26" s="38"/>
      <c r="P26" s="28">
        <f>IF(AND($C26="",$D26=""),0,IF(AND($C26&gt;$D26,N26&gt;O26),'Tabla general'!$L$4,IF(AND($D26&gt;$C26,O26&gt;N26),'Tabla general'!$L$4,IF(AND($C26=$D26,N26=O26),'Tabla general'!$L$4,0))) + IF(AND($C26=N26,$D26=O26),'Tabla general'!$L$5,0))</f>
        <v>0</v>
      </c>
      <c r="Q26" s="38"/>
      <c r="R26" s="38"/>
      <c r="S26" s="29">
        <f>IF(AND($C26="",$D26=""),0,IF(AND($C26&gt;$D26,Q26&gt;R26),'Tabla general'!$L$4,IF(AND($D26&gt;$C26,R26&gt;Q26),'Tabla general'!$L$4,IF(AND($C26=$D26,Q26=R26),'Tabla general'!$L$4,0))) + IF(AND($C26=Q26,$D26=R26),'Tabla general'!$L$5,0))</f>
        <v>0</v>
      </c>
      <c r="T26" s="38"/>
      <c r="U26" s="38"/>
      <c r="V26" s="30">
        <f>IF(AND($C26="",$D26=""),0,IF(AND($C26&gt;$D26,T26&gt;U26),'Tabla general'!$L$4,IF(AND($D26&gt;$C26,U26&gt;T26),'Tabla general'!$L$4,IF(AND($C26=$D26,T26=U26),'Tabla general'!$L$4,0))) + IF(AND($C26=T26,$D26=U26),'Tabla general'!$L$5,0))</f>
        <v>0</v>
      </c>
      <c r="W26" s="38"/>
      <c r="X26" s="38"/>
      <c r="Y26" s="31">
        <f>IF(AND($C26="",$D26=""),0,IF(AND($C26&gt;$D26,W26&gt;X26),'Tabla general'!$L$4,IF(AND($D26&gt;$C26,X26&gt;W26),'Tabla general'!$L$4,IF(AND($C26=$D26,W26=X26),'Tabla general'!$L$4,0))) + IF(AND($C26=W26,$D26=X26),'Tabla general'!$L$5,0))</f>
        <v>0</v>
      </c>
      <c r="Z26" s="38"/>
      <c r="AA26" s="38"/>
      <c r="AB26" s="32">
        <f>IF(AND($C26="",$D26=""),0,IF(AND($C26&gt;$D26,Z26&gt;AA26),'Tabla general'!$L$4,IF(AND($D26&gt;$C26,AA26&gt;Z26),'Tabla general'!$L$4,IF(AND($C26=$D26,Z26=AA26),'Tabla general'!$L$4,0))) + IF(AND($C26=Z26,$D26=AA26),'Tabla general'!$L$5,0))</f>
        <v>0</v>
      </c>
      <c r="AC26" s="38"/>
      <c r="AD26" s="38"/>
      <c r="AE26" s="33">
        <f>IF(AND($C26="",$D26=""),0,IF(AND($C26&gt;$D26,AC26&gt;AD26),'Tabla general'!$L$4,IF(AND($D26&gt;$C26,AD26&gt;AC26),'Tabla general'!$L$4,IF(AND($C26=$D26,AC26=AD26),'Tabla general'!$L$4,0))) + IF(AND($C26=AC26,$D26=AD26),'Tabla general'!$L$5,0))</f>
        <v>0</v>
      </c>
      <c r="AF26" s="38"/>
      <c r="AG26" s="38"/>
      <c r="AH26" s="34">
        <f>IF(AND($C26="",$D26=""),0,IF(AND($C26&gt;$D26,AF26&gt;AG26),'Tabla general'!$L$4,IF(AND($D26&gt;$C26,AG26&gt;AF26),'Tabla general'!$L$4,IF(AND($C26=$D26,AF26=AG26),'Tabla general'!$L$4,0))) + IF(AND($C26=AF26,$D26=AG26),'Tabla general'!$L$5,0))</f>
        <v>0</v>
      </c>
      <c r="AI26" s="38"/>
      <c r="AJ26" s="38"/>
      <c r="AK26" s="35">
        <f>IF(AND($C26="",$D26=""),0,IF(AND($C26&gt;$D26,AI26&gt;AJ26),'Tabla general'!$L$4,IF(AND($D26&gt;$C26,AJ26&gt;AI26),'Tabla general'!$L$4,IF(AND($C26=$D26,AI26=AJ26),'Tabla general'!$L$4,0))) + IF(AND($C26=AI26,$D26=AJ26),'Tabla general'!$L$5,0))</f>
        <v>0</v>
      </c>
      <c r="AL26" s="38"/>
      <c r="AM26" s="38"/>
      <c r="AN26" s="36">
        <f>IF(AND($C26="",$D26=""),0,IF(AND($C26&gt;$D26,AL26&gt;AM26),'Tabla general'!$L$4,IF(AND($D26&gt;$C26,AM26&gt;AL26),'Tabla general'!$L$4,IF(AND($C26=$D26,AL26=AM26),'Tabla general'!$L$4,0))) + IF(AND($C26=AL26,$D26=AM26),'Tabla general'!$L$5,0))</f>
        <v>0</v>
      </c>
      <c r="AO26" s="38"/>
      <c r="AP26" s="38"/>
      <c r="AQ26" s="37">
        <f>IF(AND($C26="",$D26=""),0,IF(AND($C26&gt;$D26,AO26&gt;AP26),'Tabla general'!$L$4,IF(AND($D26&gt;$C26,AP26&gt;AO26),'Tabla general'!$L$4,IF(AND($C26=$D26,AO26=AP26),'Tabla general'!$L$4,0))) + IF(AND($C26=AO26,$D26=AP26),'Tabla general'!$L$5,0))</f>
        <v>0</v>
      </c>
      <c r="AR26" s="38"/>
      <c r="AS26" s="38"/>
      <c r="AT26" s="34">
        <f>IF(AND($C26="",$D26=""),0,IF(AND($C26&gt;$D26,AR26&gt;AS26),'Tabla general'!$L$4,IF(AND($D26&gt;$C26,AS26&gt;AR26),'Tabla general'!$L$4,IF(AND($C26=$D26,AR26=AS26),'Tabla general'!$L$4,0))) + IF(AND($C26=AR26,$D26=AS26),'Tabla general'!$L$5,0))</f>
        <v>0</v>
      </c>
      <c r="AU26" s="38"/>
      <c r="AV26" s="38"/>
      <c r="AW26" s="35">
        <f>IF(AND($C26="",$D26=""),0,IF(AND($C26&gt;$D26,AU26&gt;AV26),'Tabla general'!$L$4,IF(AND($D26&gt;$C26,AV26&gt;AU26),'Tabla general'!$L$4,IF(AND($C26=$D26,AU26=AV26),'Tabla general'!$L$4,0))) + IF(AND($C26=AU26,$D26=AV26),'Tabla general'!$L$5,0))</f>
        <v>0</v>
      </c>
      <c r="AX26" s="48"/>
      <c r="AY26" s="46"/>
      <c r="AZ26" s="35">
        <f>IF(AND($C26="",$D26=""),0,IF(AND($C26&gt;$D26,AX26&gt;AY26),'Tabla general'!$L$4,IF(AND($D26&gt;$C26,AY26&gt;AX26),'Tabla general'!$L$4,IF(AND($C26=$D26,AX26=AY26),'Tabla general'!$L$4,0))) + IF(AND($C26=AX26,$D26=AY26),'Tabla general'!$L$5,0))</f>
        <v>0</v>
      </c>
    </row>
    <row r="27" spans="1:52">
      <c r="A27" s="2" t="s">
        <v>79</v>
      </c>
      <c r="B27" s="2" t="s">
        <v>83</v>
      </c>
      <c r="C27" s="49"/>
      <c r="D27" s="50"/>
      <c r="E27" s="38"/>
      <c r="F27" s="38"/>
      <c r="G27" s="39">
        <f>IF(AND($C27="",$D27=""),0,IF(AND($C27&gt;$D27,E27&gt;F27),'Tabla general'!$L$4,IF(AND($D27&gt;$C27,F27&gt;E27),'Tabla general'!$L$4,IF(AND($C27=$D27,E27=F27),'Tabla general'!$L$4,0))) + IF(AND($C27=E27,$D27=F27),'Tabla general'!$L$5,0))</f>
        <v>0</v>
      </c>
      <c r="H27" s="38"/>
      <c r="I27" s="38"/>
      <c r="J27" s="26">
        <f>IF(AND($C27="",$D27=""),0,IF(AND($C27&gt;$D27,H27&gt;I27),'Tabla general'!$L$4,IF(AND($D27&gt;$C27,I27&gt;H27),'Tabla general'!$L$4,IF(AND($C27=$D27,H27=I27),'Tabla general'!$L$4,0))) + IF(AND($C27=H27,$D27=I27),'Tabla general'!$L$5,0))</f>
        <v>0</v>
      </c>
      <c r="K27" s="38"/>
      <c r="L27" s="38"/>
      <c r="M27" s="27">
        <f>IF(AND($C27="",$D27=""),0,IF(AND($C27&gt;$D27,K27&gt;L27),'Tabla general'!$L$4,IF(AND($D27&gt;$C27,L27&gt;K27),'Tabla general'!$L$4,IF(AND($C27=$D27,K27=L27),'Tabla general'!$L$4,0))) + IF(AND($C27=K27,$D27=L27),'Tabla general'!$L$5,0))</f>
        <v>0</v>
      </c>
      <c r="N27" s="38"/>
      <c r="O27" s="38"/>
      <c r="P27" s="28">
        <f>IF(AND($C27="",$D27=""),0,IF(AND($C27&gt;$D27,N27&gt;O27),'Tabla general'!$L$4,IF(AND($D27&gt;$C27,O27&gt;N27),'Tabla general'!$L$4,IF(AND($C27=$D27,N27=O27),'Tabla general'!$L$4,0))) + IF(AND($C27=N27,$D27=O27),'Tabla general'!$L$5,0))</f>
        <v>0</v>
      </c>
      <c r="Q27" s="38"/>
      <c r="R27" s="38"/>
      <c r="S27" s="29">
        <f>IF(AND($C27="",$D27=""),0,IF(AND($C27&gt;$D27,Q27&gt;R27),'Tabla general'!$L$4,IF(AND($D27&gt;$C27,R27&gt;Q27),'Tabla general'!$L$4,IF(AND($C27=$D27,Q27=R27),'Tabla general'!$L$4,0))) + IF(AND($C27=Q27,$D27=R27),'Tabla general'!$L$5,0))</f>
        <v>0</v>
      </c>
      <c r="T27" s="38"/>
      <c r="U27" s="38"/>
      <c r="V27" s="30">
        <f>IF(AND($C27="",$D27=""),0,IF(AND($C27&gt;$D27,T27&gt;U27),'Tabla general'!$L$4,IF(AND($D27&gt;$C27,U27&gt;T27),'Tabla general'!$L$4,IF(AND($C27=$D27,T27=U27),'Tabla general'!$L$4,0))) + IF(AND($C27=T27,$D27=U27),'Tabla general'!$L$5,0))</f>
        <v>0</v>
      </c>
      <c r="W27" s="38"/>
      <c r="X27" s="38"/>
      <c r="Y27" s="31">
        <f>IF(AND($C27="",$D27=""),0,IF(AND($C27&gt;$D27,W27&gt;X27),'Tabla general'!$L$4,IF(AND($D27&gt;$C27,X27&gt;W27),'Tabla general'!$L$4,IF(AND($C27=$D27,W27=X27),'Tabla general'!$L$4,0))) + IF(AND($C27=W27,$D27=X27),'Tabla general'!$L$5,0))</f>
        <v>0</v>
      </c>
      <c r="Z27" s="38"/>
      <c r="AA27" s="38"/>
      <c r="AB27" s="32">
        <f>IF(AND($C27="",$D27=""),0,IF(AND($C27&gt;$D27,Z27&gt;AA27),'Tabla general'!$L$4,IF(AND($D27&gt;$C27,AA27&gt;Z27),'Tabla general'!$L$4,IF(AND($C27=$D27,Z27=AA27),'Tabla general'!$L$4,0))) + IF(AND($C27=Z27,$D27=AA27),'Tabla general'!$L$5,0))</f>
        <v>0</v>
      </c>
      <c r="AC27" s="38"/>
      <c r="AD27" s="38"/>
      <c r="AE27" s="33">
        <f>IF(AND($C27="",$D27=""),0,IF(AND($C27&gt;$D27,AC27&gt;AD27),'Tabla general'!$L$4,IF(AND($D27&gt;$C27,AD27&gt;AC27),'Tabla general'!$L$4,IF(AND($C27=$D27,AC27=AD27),'Tabla general'!$L$4,0))) + IF(AND($C27=AC27,$D27=AD27),'Tabla general'!$L$5,0))</f>
        <v>0</v>
      </c>
      <c r="AF27" s="38"/>
      <c r="AG27" s="38"/>
      <c r="AH27" s="34">
        <f>IF(AND($C27="",$D27=""),0,IF(AND($C27&gt;$D27,AF27&gt;AG27),'Tabla general'!$L$4,IF(AND($D27&gt;$C27,AG27&gt;AF27),'Tabla general'!$L$4,IF(AND($C27=$D27,AF27=AG27),'Tabla general'!$L$4,0))) + IF(AND($C27=AF27,$D27=AG27),'Tabla general'!$L$5,0))</f>
        <v>0</v>
      </c>
      <c r="AI27" s="38"/>
      <c r="AJ27" s="38"/>
      <c r="AK27" s="35">
        <f>IF(AND($C27="",$D27=""),0,IF(AND($C27&gt;$D27,AI27&gt;AJ27),'Tabla general'!$L$4,IF(AND($D27&gt;$C27,AJ27&gt;AI27),'Tabla general'!$L$4,IF(AND($C27=$D27,AI27=AJ27),'Tabla general'!$L$4,0))) + IF(AND($C27=AI27,$D27=AJ27),'Tabla general'!$L$5,0))</f>
        <v>0</v>
      </c>
      <c r="AL27" s="38"/>
      <c r="AM27" s="38"/>
      <c r="AN27" s="36">
        <f>IF(AND($C27="",$D27=""),0,IF(AND($C27&gt;$D27,AL27&gt;AM27),'Tabla general'!$L$4,IF(AND($D27&gt;$C27,AM27&gt;AL27),'Tabla general'!$L$4,IF(AND($C27=$D27,AL27=AM27),'Tabla general'!$L$4,0))) + IF(AND($C27=AL27,$D27=AM27),'Tabla general'!$L$5,0))</f>
        <v>0</v>
      </c>
      <c r="AO27" s="38"/>
      <c r="AP27" s="38"/>
      <c r="AQ27" s="37">
        <f>IF(AND($C27="",$D27=""),0,IF(AND($C27&gt;$D27,AO27&gt;AP27),'Tabla general'!$L$4,IF(AND($D27&gt;$C27,AP27&gt;AO27),'Tabla general'!$L$4,IF(AND($C27=$D27,AO27=AP27),'Tabla general'!$L$4,0))) + IF(AND($C27=AO27,$D27=AP27),'Tabla general'!$L$5,0))</f>
        <v>0</v>
      </c>
      <c r="AR27" s="38"/>
      <c r="AS27" s="38"/>
      <c r="AT27" s="34">
        <f>IF(AND($C27="",$D27=""),0,IF(AND($C27&gt;$D27,AR27&gt;AS27),'Tabla general'!$L$4,IF(AND($D27&gt;$C27,AS27&gt;AR27),'Tabla general'!$L$4,IF(AND($C27=$D27,AR27=AS27),'Tabla general'!$L$4,0))) + IF(AND($C27=AR27,$D27=AS27),'Tabla general'!$L$5,0))</f>
        <v>0</v>
      </c>
      <c r="AU27" s="38"/>
      <c r="AV27" s="38"/>
      <c r="AW27" s="35">
        <f>IF(AND($C27="",$D27=""),0,IF(AND($C27&gt;$D27,AU27&gt;AV27),'Tabla general'!$L$4,IF(AND($D27&gt;$C27,AV27&gt;AU27),'Tabla general'!$L$4,IF(AND($C27=$D27,AU27=AV27),'Tabla general'!$L$4,0))) + IF(AND($C27=AU27,$D27=AV27),'Tabla general'!$L$5,0))</f>
        <v>0</v>
      </c>
      <c r="AX27" s="48"/>
      <c r="AY27" s="46"/>
      <c r="AZ27" s="35">
        <f>IF(AND($C27="",$D27=""),0,IF(AND($C27&gt;$D27,AX27&gt;AY27),'Tabla general'!$L$4,IF(AND($D27&gt;$C27,AY27&gt;AX27),'Tabla general'!$L$4,IF(AND($C27=$D27,AX27=AY27),'Tabla general'!$L$4,0))) + IF(AND($C27=AX27,$D27=AY27),'Tabla general'!$L$5,0))</f>
        <v>0</v>
      </c>
    </row>
    <row r="28" spans="1:52">
      <c r="A28" s="2" t="s">
        <v>81</v>
      </c>
      <c r="B28" s="2" t="s">
        <v>85</v>
      </c>
      <c r="C28" s="49"/>
      <c r="D28" s="50"/>
      <c r="E28" s="38"/>
      <c r="F28" s="38"/>
      <c r="G28" s="39">
        <f>IF(AND($C28="",$D28=""),0,IF(AND($C28&gt;$D28,E28&gt;F28),'Tabla general'!$L$4,IF(AND($D28&gt;$C28,F28&gt;E28),'Tabla general'!$L$4,IF(AND($C28=$D28,E28=F28),'Tabla general'!$L$4,0))) + IF(AND($C28=E28,$D28=F28),'Tabla general'!$L$5,0))</f>
        <v>0</v>
      </c>
      <c r="H28" s="38"/>
      <c r="I28" s="38"/>
      <c r="J28" s="26">
        <f>IF(AND($C28="",$D28=""),0,IF(AND($C28&gt;$D28,H28&gt;I28),'Tabla general'!$L$4,IF(AND($D28&gt;$C28,I28&gt;H28),'Tabla general'!$L$4,IF(AND($C28=$D28,H28=I28),'Tabla general'!$L$4,0))) + IF(AND($C28=H28,$D28=I28),'Tabla general'!$L$5,0))</f>
        <v>0</v>
      </c>
      <c r="K28" s="38"/>
      <c r="L28" s="38"/>
      <c r="M28" s="27">
        <f>IF(AND($C28="",$D28=""),0,IF(AND($C28&gt;$D28,K28&gt;L28),'Tabla general'!$L$4,IF(AND($D28&gt;$C28,L28&gt;K28),'Tabla general'!$L$4,IF(AND($C28=$D28,K28=L28),'Tabla general'!$L$4,0))) + IF(AND($C28=K28,$D28=L28),'Tabla general'!$L$5,0))</f>
        <v>0</v>
      </c>
      <c r="N28" s="38"/>
      <c r="O28" s="38"/>
      <c r="P28" s="28">
        <f>IF(AND($C28="",$D28=""),0,IF(AND($C28&gt;$D28,N28&gt;O28),'Tabla general'!$L$4,IF(AND($D28&gt;$C28,O28&gt;N28),'Tabla general'!$L$4,IF(AND($C28=$D28,N28=O28),'Tabla general'!$L$4,0))) + IF(AND($C28=N28,$D28=O28),'Tabla general'!$L$5,0))</f>
        <v>0</v>
      </c>
      <c r="Q28" s="38"/>
      <c r="R28" s="38"/>
      <c r="S28" s="29">
        <f>IF(AND($C28="",$D28=""),0,IF(AND($C28&gt;$D28,Q28&gt;R28),'Tabla general'!$L$4,IF(AND($D28&gt;$C28,R28&gt;Q28),'Tabla general'!$L$4,IF(AND($C28=$D28,Q28=R28),'Tabla general'!$L$4,0))) + IF(AND($C28=Q28,$D28=R28),'Tabla general'!$L$5,0))</f>
        <v>0</v>
      </c>
      <c r="T28" s="38"/>
      <c r="U28" s="38"/>
      <c r="V28" s="30">
        <f>IF(AND($C28="",$D28=""),0,IF(AND($C28&gt;$D28,T28&gt;U28),'Tabla general'!$L$4,IF(AND($D28&gt;$C28,U28&gt;T28),'Tabla general'!$L$4,IF(AND($C28=$D28,T28=U28),'Tabla general'!$L$4,0))) + IF(AND($C28=T28,$D28=U28),'Tabla general'!$L$5,0))</f>
        <v>0</v>
      </c>
      <c r="W28" s="38"/>
      <c r="X28" s="38"/>
      <c r="Y28" s="31">
        <f>IF(AND($C28="",$D28=""),0,IF(AND($C28&gt;$D28,W28&gt;X28),'Tabla general'!$L$4,IF(AND($D28&gt;$C28,X28&gt;W28),'Tabla general'!$L$4,IF(AND($C28=$D28,W28=X28),'Tabla general'!$L$4,0))) + IF(AND($C28=W28,$D28=X28),'Tabla general'!$L$5,0))</f>
        <v>0</v>
      </c>
      <c r="Z28" s="38"/>
      <c r="AA28" s="38"/>
      <c r="AB28" s="32">
        <f>IF(AND($C28="",$D28=""),0,IF(AND($C28&gt;$D28,Z28&gt;AA28),'Tabla general'!$L$4,IF(AND($D28&gt;$C28,AA28&gt;Z28),'Tabla general'!$L$4,IF(AND($C28=$D28,Z28=AA28),'Tabla general'!$L$4,0))) + IF(AND($C28=Z28,$D28=AA28),'Tabla general'!$L$5,0))</f>
        <v>0</v>
      </c>
      <c r="AC28" s="38"/>
      <c r="AD28" s="38"/>
      <c r="AE28" s="33">
        <f>IF(AND($C28="",$D28=""),0,IF(AND($C28&gt;$D28,AC28&gt;AD28),'Tabla general'!$L$4,IF(AND($D28&gt;$C28,AD28&gt;AC28),'Tabla general'!$L$4,IF(AND($C28=$D28,AC28=AD28),'Tabla general'!$L$4,0))) + IF(AND($C28=AC28,$D28=AD28),'Tabla general'!$L$5,0))</f>
        <v>0</v>
      </c>
      <c r="AF28" s="38"/>
      <c r="AG28" s="38"/>
      <c r="AH28" s="34">
        <f>IF(AND($C28="",$D28=""),0,IF(AND($C28&gt;$D28,AF28&gt;AG28),'Tabla general'!$L$4,IF(AND($D28&gt;$C28,AG28&gt;AF28),'Tabla general'!$L$4,IF(AND($C28=$D28,AF28=AG28),'Tabla general'!$L$4,0))) + IF(AND($C28=AF28,$D28=AG28),'Tabla general'!$L$5,0))</f>
        <v>0</v>
      </c>
      <c r="AI28" s="38"/>
      <c r="AJ28" s="38"/>
      <c r="AK28" s="35">
        <f>IF(AND($C28="",$D28=""),0,IF(AND($C28&gt;$D28,AI28&gt;AJ28),'Tabla general'!$L$4,IF(AND($D28&gt;$C28,AJ28&gt;AI28),'Tabla general'!$L$4,IF(AND($C28=$D28,AI28=AJ28),'Tabla general'!$L$4,0))) + IF(AND($C28=AI28,$D28=AJ28),'Tabla general'!$L$5,0))</f>
        <v>0</v>
      </c>
      <c r="AL28" s="38"/>
      <c r="AM28" s="38"/>
      <c r="AN28" s="36">
        <f>IF(AND($C28="",$D28=""),0,IF(AND($C28&gt;$D28,AL28&gt;AM28),'Tabla general'!$L$4,IF(AND($D28&gt;$C28,AM28&gt;AL28),'Tabla general'!$L$4,IF(AND($C28=$D28,AL28=AM28),'Tabla general'!$L$4,0))) + IF(AND($C28=AL28,$D28=AM28),'Tabla general'!$L$5,0))</f>
        <v>0</v>
      </c>
      <c r="AO28" s="38"/>
      <c r="AP28" s="38"/>
      <c r="AQ28" s="37">
        <f>IF(AND($C28="",$D28=""),0,IF(AND($C28&gt;$D28,AO28&gt;AP28),'Tabla general'!$L$4,IF(AND($D28&gt;$C28,AP28&gt;AO28),'Tabla general'!$L$4,IF(AND($C28=$D28,AO28=AP28),'Tabla general'!$L$4,0))) + IF(AND($C28=AO28,$D28=AP28),'Tabla general'!$L$5,0))</f>
        <v>0</v>
      </c>
      <c r="AR28" s="38"/>
      <c r="AS28" s="38"/>
      <c r="AT28" s="34">
        <f>IF(AND($C28="",$D28=""),0,IF(AND($C28&gt;$D28,AR28&gt;AS28),'Tabla general'!$L$4,IF(AND($D28&gt;$C28,AS28&gt;AR28),'Tabla general'!$L$4,IF(AND($C28=$D28,AR28=AS28),'Tabla general'!$L$4,0))) + IF(AND($C28=AR28,$D28=AS28),'Tabla general'!$L$5,0))</f>
        <v>0</v>
      </c>
      <c r="AU28" s="38"/>
      <c r="AV28" s="38"/>
      <c r="AW28" s="35">
        <f>IF(AND($C28="",$D28=""),0,IF(AND($C28&gt;$D28,AU28&gt;AV28),'Tabla general'!$L$4,IF(AND($D28&gt;$C28,AV28&gt;AU28),'Tabla general'!$L$4,IF(AND($C28=$D28,AU28=AV28),'Tabla general'!$L$4,0))) + IF(AND($C28=AU28,$D28=AV28),'Tabla general'!$L$5,0))</f>
        <v>0</v>
      </c>
      <c r="AX28" s="48"/>
      <c r="AY28" s="46"/>
      <c r="AZ28" s="35">
        <f>IF(AND($C28="",$D28=""),0,IF(AND($C28&gt;$D28,AX28&gt;AY28),'Tabla general'!$L$4,IF(AND($D28&gt;$C28,AY28&gt;AX28),'Tabla general'!$L$4,IF(AND($C28=$D28,AX28=AY28),'Tabla general'!$L$4,0))) + IF(AND($C28=AX28,$D28=AY28),'Tabla general'!$L$5,0))</f>
        <v>0</v>
      </c>
    </row>
    <row r="29" spans="1:52">
      <c r="A29" s="2"/>
      <c r="B29" s="2"/>
      <c r="C29" s="49"/>
      <c r="D29" s="50"/>
      <c r="E29" s="38"/>
      <c r="F29" s="38"/>
      <c r="G29" s="39">
        <f>IF(AND($C29="",$D29=""),0,IF(AND($C29&gt;$D29,E29&gt;F29),'Tabla general'!$L$4,IF(AND($D29&gt;$C29,F29&gt;E29),'Tabla general'!$L$4,IF(AND($C29=$D29,E29=F29),'Tabla general'!$L$4,0))) + IF(AND($C29=E29,$D29=F29),'Tabla general'!$L$5,0))</f>
        <v>0</v>
      </c>
      <c r="H29" s="38"/>
      <c r="I29" s="38"/>
      <c r="J29" s="26">
        <f>IF(AND($C29="",$D29=""),0,IF(AND($C29&gt;$D29,H29&gt;I29),'Tabla general'!$L$4,IF(AND($D29&gt;$C29,I29&gt;H29),'Tabla general'!$L$4,IF(AND($C29=$D29,H29=I29),'Tabla general'!$L$4,0))) + IF(AND($C29=H29,$D29=I29),'Tabla general'!$L$5,0))</f>
        <v>0</v>
      </c>
      <c r="K29" s="38"/>
      <c r="L29" s="38"/>
      <c r="M29" s="27">
        <f>IF(AND($C29="",$D29=""),0,IF(AND($C29&gt;$D29,K29&gt;L29),'Tabla general'!$L$4,IF(AND($D29&gt;$C29,L29&gt;K29),'Tabla general'!$L$4,IF(AND($C29=$D29,K29=L29),'Tabla general'!$L$4,0))) + IF(AND($C29=K29,$D29=L29),'Tabla general'!$L$5,0))</f>
        <v>0</v>
      </c>
      <c r="N29" s="38"/>
      <c r="O29" s="38"/>
      <c r="P29" s="28">
        <f>IF(AND($C29="",$D29=""),0,IF(AND($C29&gt;$D29,N29&gt;O29),'Tabla general'!$L$4,IF(AND($D29&gt;$C29,O29&gt;N29),'Tabla general'!$L$4,IF(AND($C29=$D29,N29=O29),'Tabla general'!$L$4,0))) + IF(AND($C29=N29,$D29=O29),'Tabla general'!$L$5,0))</f>
        <v>0</v>
      </c>
      <c r="Q29" s="38"/>
      <c r="R29" s="38"/>
      <c r="S29" s="29">
        <f>IF(AND($C29="",$D29=""),0,IF(AND($C29&gt;$D29,Q29&gt;R29),'Tabla general'!$L$4,IF(AND($D29&gt;$C29,R29&gt;Q29),'Tabla general'!$L$4,IF(AND($C29=$D29,Q29=R29),'Tabla general'!$L$4,0))) + IF(AND($C29=Q29,$D29=R29),'Tabla general'!$L$5,0))</f>
        <v>0</v>
      </c>
      <c r="T29" s="38"/>
      <c r="U29" s="38"/>
      <c r="V29" s="30">
        <f>IF(AND($C29="",$D29=""),0,IF(AND($C29&gt;$D29,T29&gt;U29),'Tabla general'!$L$4,IF(AND($D29&gt;$C29,U29&gt;T29),'Tabla general'!$L$4,IF(AND($C29=$D29,T29=U29),'Tabla general'!$L$4,0))) + IF(AND($C29=T29,$D29=U29),'Tabla general'!$L$5,0))</f>
        <v>0</v>
      </c>
      <c r="W29" s="38"/>
      <c r="X29" s="38"/>
      <c r="Y29" s="31">
        <f>IF(AND($C29="",$D29=""),0,IF(AND($C29&gt;$D29,W29&gt;X29),'Tabla general'!$L$4,IF(AND($D29&gt;$C29,X29&gt;W29),'Tabla general'!$L$4,IF(AND($C29=$D29,W29=X29),'Tabla general'!$L$4,0))) + IF(AND($C29=W29,$D29=X29),'Tabla general'!$L$5,0))</f>
        <v>0</v>
      </c>
      <c r="Z29" s="38"/>
      <c r="AA29" s="38"/>
      <c r="AB29" s="32">
        <f>IF(AND($C29="",$D29=""),0,IF(AND($C29&gt;$D29,Z29&gt;AA29),'Tabla general'!$L$4,IF(AND($D29&gt;$C29,AA29&gt;Z29),'Tabla general'!$L$4,IF(AND($C29=$D29,Z29=AA29),'Tabla general'!$L$4,0))) + IF(AND($C29=Z29,$D29=AA29),'Tabla general'!$L$5,0))</f>
        <v>0</v>
      </c>
      <c r="AC29" s="38"/>
      <c r="AD29" s="38"/>
      <c r="AE29" s="33">
        <f>IF(AND($C29="",$D29=""),0,IF(AND($C29&gt;$D29,AC29&gt;AD29),'Tabla general'!$L$4,IF(AND($D29&gt;$C29,AD29&gt;AC29),'Tabla general'!$L$4,IF(AND($C29=$D29,AC29=AD29),'Tabla general'!$L$4,0))) + IF(AND($C29=AC29,$D29=AD29),'Tabla general'!$L$5,0))</f>
        <v>0</v>
      </c>
      <c r="AF29" s="38"/>
      <c r="AG29" s="38"/>
      <c r="AH29" s="34">
        <f>IF(AND($C29="",$D29=""),0,IF(AND($C29&gt;$D29,AF29&gt;AG29),'Tabla general'!$L$4,IF(AND($D29&gt;$C29,AG29&gt;AF29),'Tabla general'!$L$4,IF(AND($C29=$D29,AF29=AG29),'Tabla general'!$L$4,0))) + IF(AND($C29=AF29,$D29=AG29),'Tabla general'!$L$5,0))</f>
        <v>0</v>
      </c>
      <c r="AI29" s="38"/>
      <c r="AJ29" s="38"/>
      <c r="AK29" s="35">
        <f>IF(AND($C29="",$D29=""),0,IF(AND($C29&gt;$D29,AI29&gt;AJ29),'Tabla general'!$L$4,IF(AND($D29&gt;$C29,AJ29&gt;AI29),'Tabla general'!$L$4,IF(AND($C29=$D29,AI29=AJ29),'Tabla general'!$L$4,0))) + IF(AND($C29=AI29,$D29=AJ29),'Tabla general'!$L$5,0))</f>
        <v>0</v>
      </c>
      <c r="AL29" s="38"/>
      <c r="AM29" s="38"/>
      <c r="AN29" s="36">
        <f>IF(AND($C29="",$D29=""),0,IF(AND($C29&gt;$D29,AL29&gt;AM29),'Tabla general'!$L$4,IF(AND($D29&gt;$C29,AM29&gt;AL29),'Tabla general'!$L$4,IF(AND($C29=$D29,AL29=AM29),'Tabla general'!$L$4,0))) + IF(AND($C29=AL29,$D29=AM29),'Tabla general'!$L$5,0))</f>
        <v>0</v>
      </c>
      <c r="AO29" s="38"/>
      <c r="AP29" s="38"/>
      <c r="AQ29" s="37">
        <f>IF(AND($C29="",$D29=""),0,IF(AND($C29&gt;$D29,AO29&gt;AP29),'Tabla general'!$L$4,IF(AND($D29&gt;$C29,AP29&gt;AO29),'Tabla general'!$L$4,IF(AND($C29=$D29,AO29=AP29),'Tabla general'!$L$4,0))) + IF(AND($C29=AO29,$D29=AP29),'Tabla general'!$L$5,0))</f>
        <v>0</v>
      </c>
      <c r="AR29" s="38"/>
      <c r="AS29" s="38"/>
      <c r="AT29" s="34">
        <f>IF(AND($C29="",$D29=""),0,IF(AND($C29&gt;$D29,AR29&gt;AS29),'Tabla general'!$L$4,IF(AND($D29&gt;$C29,AS29&gt;AR29),'Tabla general'!$L$4,IF(AND($C29=$D29,AR29=AS29),'Tabla general'!$L$4,0))) + IF(AND($C29=AR29,$D29=AS29),'Tabla general'!$L$5,0))</f>
        <v>0</v>
      </c>
      <c r="AU29" s="38"/>
      <c r="AV29" s="38"/>
      <c r="AW29" s="35">
        <f>IF(AND($C29="",$D29=""),0,IF(AND($C29&gt;$D29,AU29&gt;AV29),'Tabla general'!$L$4,IF(AND($D29&gt;$C29,AV29&gt;AU29),'Tabla general'!$L$4,IF(AND($C29=$D29,AU29=AV29),'Tabla general'!$L$4,0))) + IF(AND($C29=AU29,$D29=AV29),'Tabla general'!$L$5,0))</f>
        <v>0</v>
      </c>
      <c r="AX29" s="8"/>
      <c r="AY29" s="46"/>
      <c r="AZ29" s="35">
        <f>IF(AND($C29="",$D29=""),0,IF(AND($C29&gt;$D29,AX29&gt;AY29),'Tabla general'!$L$4,IF(AND($D29&gt;$C29,AY29&gt;AX29),'Tabla general'!$L$4,IF(AND($C29=$D29,AX29=AY29),'Tabla general'!$L$4,0))) + IF(AND($C29=AX29,$D29=AY29),'Tabla general'!$L$5,0))</f>
        <v>0</v>
      </c>
    </row>
    <row r="30" spans="1:52">
      <c r="A30" s="2"/>
      <c r="B30" s="2"/>
      <c r="C30" s="2"/>
      <c r="D30" s="2"/>
      <c r="E30" s="160" t="s">
        <v>36</v>
      </c>
      <c r="F30" s="161"/>
      <c r="G30" s="40">
        <f>SUM(G$6:G$29,G$4)</f>
        <v>0</v>
      </c>
      <c r="H30" s="41"/>
      <c r="I30" s="41"/>
      <c r="J30" s="11">
        <f>SUM(J$6:J$29,J$4)</f>
        <v>0</v>
      </c>
      <c r="K30" s="42"/>
      <c r="L30" s="11"/>
      <c r="M30" s="11">
        <f>SUM(M$6:M$29,M$4)</f>
        <v>0</v>
      </c>
      <c r="N30" s="11"/>
      <c r="O30" s="11"/>
      <c r="P30" s="11">
        <f>SUM(P$6:P$29,P$4)</f>
        <v>0</v>
      </c>
      <c r="Q30" s="11"/>
      <c r="R30" s="11"/>
      <c r="S30" s="11">
        <f>SUM(S$6:S$29,S$4)</f>
        <v>0</v>
      </c>
      <c r="T30" s="11"/>
      <c r="U30" s="11"/>
      <c r="V30" s="11">
        <f>SUM(V$6:V$29,V$4)</f>
        <v>0</v>
      </c>
      <c r="W30" s="11"/>
      <c r="X30" s="11"/>
      <c r="Y30" s="11">
        <f>SUM(Y$6:Y$29,Y$4)</f>
        <v>0</v>
      </c>
      <c r="Z30" s="11"/>
      <c r="AA30" s="11"/>
      <c r="AB30" s="11">
        <f>SUM(AB$6:AB$29,AB$4)</f>
        <v>0</v>
      </c>
      <c r="AC30" s="11"/>
      <c r="AD30" s="11"/>
      <c r="AE30" s="11">
        <f>SUM(AE$6:AE$29,AE$4)</f>
        <v>0</v>
      </c>
      <c r="AF30" s="11"/>
      <c r="AG30" s="11"/>
      <c r="AH30" s="11">
        <f>SUM(AH$6:AH$29,AH$4)</f>
        <v>0</v>
      </c>
      <c r="AI30" s="11"/>
      <c r="AJ30" s="11"/>
      <c r="AK30" s="11">
        <f>SUM(AK$6:AK$29,AK$4)</f>
        <v>0</v>
      </c>
      <c r="AL30" s="11"/>
      <c r="AM30" s="11"/>
      <c r="AN30" s="11">
        <f>SUM(AN$6:AN$29,AN$4)</f>
        <v>0</v>
      </c>
      <c r="AO30" s="11"/>
      <c r="AP30" s="11"/>
      <c r="AQ30" s="11">
        <f>SUM(AQ$6:AQ$29,AQ$4)</f>
        <v>0</v>
      </c>
      <c r="AR30" s="11"/>
      <c r="AS30" s="11"/>
      <c r="AT30" s="11">
        <f>SUM(AT$6:AT$29,AT$4)</f>
        <v>0</v>
      </c>
      <c r="AU30" s="11"/>
      <c r="AV30" s="11"/>
      <c r="AW30" s="11">
        <f>SUM(AW$6:AW$29,AW$4)</f>
        <v>0</v>
      </c>
      <c r="AX30" s="2"/>
      <c r="AY30" s="2"/>
      <c r="AZ30" s="2">
        <f>SUM(AZ$6:AZ$29,AZ$4)</f>
        <v>0</v>
      </c>
    </row>
  </sheetData>
  <mergeCells count="54">
    <mergeCell ref="AC3:AD3"/>
    <mergeCell ref="AF3:AG3"/>
    <mergeCell ref="T4:U4"/>
    <mergeCell ref="AI3:AJ3"/>
    <mergeCell ref="E30:F30"/>
    <mergeCell ref="AC4:AD4"/>
    <mergeCell ref="AF4:AG4"/>
    <mergeCell ref="AI4:AJ4"/>
    <mergeCell ref="Q3:R3"/>
    <mergeCell ref="T3:U3"/>
    <mergeCell ref="W3:X3"/>
    <mergeCell ref="Z3:AA3"/>
    <mergeCell ref="AO5:AP5"/>
    <mergeCell ref="Q5:R5"/>
    <mergeCell ref="T5:U5"/>
    <mergeCell ref="W5:X5"/>
    <mergeCell ref="Z5:AA5"/>
    <mergeCell ref="AC5:AD5"/>
    <mergeCell ref="AL4:AM4"/>
    <mergeCell ref="E5:F5"/>
    <mergeCell ref="H5:I5"/>
    <mergeCell ref="K5:L5"/>
    <mergeCell ref="N5:O5"/>
    <mergeCell ref="Q4:R4"/>
    <mergeCell ref="AF5:AG5"/>
    <mergeCell ref="AI5:AJ5"/>
    <mergeCell ref="AL5:AM5"/>
    <mergeCell ref="W4:X4"/>
    <mergeCell ref="Z4:AA4"/>
    <mergeCell ref="C3:D3"/>
    <mergeCell ref="C4:D4"/>
    <mergeCell ref="H3:I3"/>
    <mergeCell ref="K3:L3"/>
    <mergeCell ref="N3:O3"/>
    <mergeCell ref="E4:F4"/>
    <mergeCell ref="H4:I4"/>
    <mergeCell ref="K4:L4"/>
    <mergeCell ref="N4:O4"/>
    <mergeCell ref="A1:D1"/>
    <mergeCell ref="AX3:AY3"/>
    <mergeCell ref="AX4:AY4"/>
    <mergeCell ref="AX5:AY5"/>
    <mergeCell ref="AL3:AM3"/>
    <mergeCell ref="AO3:AP3"/>
    <mergeCell ref="AR3:AS3"/>
    <mergeCell ref="AU3:AV3"/>
    <mergeCell ref="AO4:AP4"/>
    <mergeCell ref="AR4:AS4"/>
    <mergeCell ref="AU4:AV4"/>
    <mergeCell ref="AR5:AS5"/>
    <mergeCell ref="AU5:AV5"/>
    <mergeCell ref="A5:B5"/>
    <mergeCell ref="C5:D5"/>
    <mergeCell ref="E3:F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31"/>
  <sheetViews>
    <sheetView workbookViewId="0">
      <pane xSplit="4" topLeftCell="E1" activePane="topRight" state="frozen"/>
      <selection pane="topRight" activeCell="A2" sqref="A2"/>
    </sheetView>
  </sheetViews>
  <sheetFormatPr defaultColWidth="11.42578125" defaultRowHeight="15"/>
  <cols>
    <col min="1" max="1" width="19.5703125" customWidth="1"/>
    <col min="2" max="2" width="18.140625" bestFit="1" customWidth="1"/>
    <col min="5" max="43" width="11.42578125" style="43" customWidth="1"/>
    <col min="44" max="49" width="11.42578125" style="43"/>
    <col min="50" max="52" width="11.42578125" customWidth="1"/>
  </cols>
  <sheetData>
    <row r="1" spans="1:52" ht="28.9" customHeight="1">
      <c r="A1" s="115" t="s">
        <v>103</v>
      </c>
      <c r="B1" s="116"/>
      <c r="C1" s="116"/>
      <c r="D1" s="117"/>
      <c r="E1" s="10"/>
      <c r="F1" s="10"/>
      <c r="G1" s="10"/>
      <c r="H1" s="10"/>
      <c r="I1" s="10"/>
      <c r="J1" s="10"/>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2"/>
      <c r="AY1" s="2"/>
      <c r="AZ1" s="2"/>
    </row>
    <row r="2" spans="1:52">
      <c r="A2" s="2"/>
      <c r="B2" s="2" t="s">
        <v>64</v>
      </c>
      <c r="C2" s="2"/>
      <c r="D2" s="6"/>
      <c r="E2" s="52"/>
      <c r="F2" s="53"/>
      <c r="G2" s="54">
        <v>1</v>
      </c>
      <c r="H2" s="55"/>
      <c r="I2" s="56"/>
      <c r="J2" s="57">
        <v>2</v>
      </c>
      <c r="K2" s="58"/>
      <c r="L2" s="59"/>
      <c r="M2" s="60">
        <v>3</v>
      </c>
      <c r="N2" s="61"/>
      <c r="O2" s="62"/>
      <c r="P2" s="63">
        <v>4</v>
      </c>
      <c r="Q2" s="64"/>
      <c r="R2" s="65"/>
      <c r="S2" s="66">
        <v>5</v>
      </c>
      <c r="T2" s="67"/>
      <c r="U2" s="68"/>
      <c r="V2" s="69">
        <v>6</v>
      </c>
      <c r="W2" s="70">
        <v>7</v>
      </c>
      <c r="X2" s="71"/>
      <c r="Y2" s="72"/>
      <c r="Z2" s="73"/>
      <c r="AA2" s="74"/>
      <c r="AB2" s="75">
        <v>7</v>
      </c>
      <c r="AC2" s="76"/>
      <c r="AD2" s="77"/>
      <c r="AE2" s="78">
        <v>8</v>
      </c>
      <c r="AF2" s="79"/>
      <c r="AG2" s="80"/>
      <c r="AH2" s="81">
        <v>9</v>
      </c>
      <c r="AI2" s="82"/>
      <c r="AJ2" s="83"/>
      <c r="AK2" s="84">
        <v>10</v>
      </c>
      <c r="AL2" s="85"/>
      <c r="AM2" s="86"/>
      <c r="AN2" s="87">
        <v>11</v>
      </c>
      <c r="AO2" s="88"/>
      <c r="AP2" s="89"/>
      <c r="AQ2" s="90">
        <v>12</v>
      </c>
      <c r="AR2" s="79"/>
      <c r="AS2" s="80"/>
      <c r="AT2" s="81">
        <v>13</v>
      </c>
      <c r="AU2" s="91"/>
      <c r="AV2" s="91"/>
      <c r="AW2" s="91">
        <v>14</v>
      </c>
      <c r="AX2" s="92"/>
      <c r="AY2" s="92"/>
      <c r="AZ2" s="92">
        <v>15</v>
      </c>
    </row>
    <row r="3" spans="1:52">
      <c r="A3" s="2"/>
      <c r="B3" s="2" t="s">
        <v>65</v>
      </c>
      <c r="C3" s="133" t="s">
        <v>66</v>
      </c>
      <c r="D3" s="134"/>
      <c r="E3" s="135" t="str">
        <f>VLOOKUP(G$2,[0]!participantes,2)</f>
        <v>Noemi Padilla</v>
      </c>
      <c r="F3" s="135"/>
      <c r="G3" s="112" t="s">
        <v>59</v>
      </c>
      <c r="H3" s="138" t="str">
        <f>VLOOKUP(J$2,[0]!participantes,2)</f>
        <v>Fabricio Ruíz</v>
      </c>
      <c r="I3" s="139"/>
      <c r="J3" s="12" t="s">
        <v>59</v>
      </c>
      <c r="K3" s="140" t="str">
        <f>VLOOKUP(M$2,[0]!participantes,2)</f>
        <v>Adrian Molina</v>
      </c>
      <c r="L3" s="141"/>
      <c r="M3" s="13" t="s">
        <v>59</v>
      </c>
      <c r="N3" s="142" t="str">
        <f>VLOOKUP(P$2,[0]!participantes,2)</f>
        <v>Ezequiel Manzo</v>
      </c>
      <c r="O3" s="143"/>
      <c r="P3" s="14" t="s">
        <v>59</v>
      </c>
      <c r="Q3" s="162" t="str">
        <f>VLOOKUP(S$2,[0]!participantes,2)</f>
        <v>Ricardo Guerra</v>
      </c>
      <c r="R3" s="163"/>
      <c r="S3" s="15" t="s">
        <v>59</v>
      </c>
      <c r="T3" s="164" t="str">
        <f>VLOOKUP(V$2,[0]!participantes,2)</f>
        <v>Mario</v>
      </c>
      <c r="U3" s="165"/>
      <c r="V3" s="16" t="s">
        <v>59</v>
      </c>
      <c r="W3" s="166" t="str">
        <f>VLOOKUP(W$2,[0]!participantes,2)</f>
        <v>Alejandro Cruz</v>
      </c>
      <c r="X3" s="167"/>
      <c r="Y3" s="17" t="s">
        <v>59</v>
      </c>
      <c r="Z3" s="168" t="str">
        <f>VLOOKUP(AB$2,[0]!participantes,2)</f>
        <v>Alejandro Cruz</v>
      </c>
      <c r="AA3" s="169"/>
      <c r="AB3" s="18" t="s">
        <v>59</v>
      </c>
      <c r="AC3" s="156" t="str">
        <f>VLOOKUP(AE$2,[0]!participantes,2)</f>
        <v>Antonio Lopez</v>
      </c>
      <c r="AD3" s="157"/>
      <c r="AE3" s="19" t="s">
        <v>59</v>
      </c>
      <c r="AF3" s="126" t="str">
        <f>VLOOKUP(AH$2,[0]!participantes,2)</f>
        <v>Christian</v>
      </c>
      <c r="AG3" s="127"/>
      <c r="AH3" s="20" t="s">
        <v>59</v>
      </c>
      <c r="AI3" s="158" t="str">
        <f>VLOOKUP(AK$2,[0]!participantes,2)</f>
        <v>Kevin Salomón</v>
      </c>
      <c r="AJ3" s="159"/>
      <c r="AK3" s="110" t="s">
        <v>59</v>
      </c>
      <c r="AL3" s="122" t="str">
        <f>VLOOKUP(AN$2,[0]!participantes,2)</f>
        <v>Emmanuel</v>
      </c>
      <c r="AM3" s="123"/>
      <c r="AN3" s="21" t="s">
        <v>59</v>
      </c>
      <c r="AO3" s="124" t="str">
        <f>VLOOKUP(AQ$2,[0]!participantes,2)</f>
        <v>Miguel Villafuerte</v>
      </c>
      <c r="AP3" s="125"/>
      <c r="AQ3" s="22" t="s">
        <v>59</v>
      </c>
      <c r="AR3" s="126" t="str">
        <f>VLOOKUP(AT$2,[0]!participantes,2)</f>
        <v>David Perez</v>
      </c>
      <c r="AS3" s="127"/>
      <c r="AT3" s="20" t="s">
        <v>59</v>
      </c>
      <c r="AU3" s="118" t="str">
        <f>VLOOKUP(AW$2,[0]!participantes,2)</f>
        <v>-</v>
      </c>
      <c r="AV3" s="118"/>
      <c r="AW3" s="23" t="s">
        <v>59</v>
      </c>
      <c r="AX3" s="118" t="str">
        <f>VLOOKUP(AZ$2,[0]!participantes,2)</f>
        <v>-</v>
      </c>
      <c r="AY3" s="118"/>
      <c r="AZ3" s="3" t="s">
        <v>59</v>
      </c>
    </row>
    <row r="4" spans="1:52" ht="15.75" thickBot="1">
      <c r="A4" s="4"/>
      <c r="B4" s="4" t="s">
        <v>67</v>
      </c>
      <c r="C4" s="136"/>
      <c r="D4" s="137"/>
      <c r="E4" s="128">
        <f>SUM(E6:F30)</f>
        <v>0</v>
      </c>
      <c r="F4" s="129"/>
      <c r="G4" s="24">
        <f>IF($C$4&lt;&gt;"",IF(E4=$C$4,'Tabla general'!$L$6,0), 0)</f>
        <v>0</v>
      </c>
      <c r="H4" s="128">
        <f>SUM(H6:I30)</f>
        <v>0</v>
      </c>
      <c r="I4" s="129"/>
      <c r="J4" s="24">
        <f>IF($C$4&lt;&gt;"",IF(H4=$C$4,'Tabla general'!$L$6,0), 0)</f>
        <v>0</v>
      </c>
      <c r="K4" s="128">
        <f>SUM(K6:L30)</f>
        <v>0</v>
      </c>
      <c r="L4" s="129"/>
      <c r="M4" s="24">
        <f>IF($C$4&lt;&gt;"",IF(K4=$C$4,'Tabla general'!$L$6,0), 0)</f>
        <v>0</v>
      </c>
      <c r="N4" s="128">
        <f>SUM(N6:O30)</f>
        <v>0</v>
      </c>
      <c r="O4" s="129"/>
      <c r="P4" s="24">
        <f>IF($C$4&lt;&gt;"",IF(N4=$C$4,'Tabla general'!$L$6,0), 0)</f>
        <v>0</v>
      </c>
      <c r="Q4" s="128">
        <f>SUM(Q6:R30)</f>
        <v>0</v>
      </c>
      <c r="R4" s="129"/>
      <c r="S4" s="24">
        <f>IF($C$4&lt;&gt;"",IF(Q4=$C$4,'Tabla general'!$L$6,0), 0)</f>
        <v>0</v>
      </c>
      <c r="T4" s="128">
        <f>SUM(T6:U30)</f>
        <v>0</v>
      </c>
      <c r="U4" s="129"/>
      <c r="V4" s="24">
        <f>IF($C$4&lt;&gt;"",IF(T4=$C$4,'Tabla general'!$L$6,0), 0)</f>
        <v>0</v>
      </c>
      <c r="W4" s="128">
        <f>SUM(W6:X30)</f>
        <v>0</v>
      </c>
      <c r="X4" s="129"/>
      <c r="Y4" s="24">
        <f>IF($C$4&lt;&gt;"",IF(W4=$C$4,'Tabla general'!$L$6,0), 0)</f>
        <v>0</v>
      </c>
      <c r="Z4" s="128">
        <f>SUM(Z6:AA30)</f>
        <v>0</v>
      </c>
      <c r="AA4" s="129"/>
      <c r="AB4" s="24">
        <f>IF($C$4&lt;&gt;"",IF(Z4=$C$4,'Tabla general'!$L$6,0), 0)</f>
        <v>0</v>
      </c>
      <c r="AC4" s="128">
        <f>SUM(AC6:AD30)</f>
        <v>0</v>
      </c>
      <c r="AD4" s="129"/>
      <c r="AE4" s="24">
        <f>IF($C$4&lt;&gt;"",IF(AC4=$C$4,'Tabla general'!$L$6,0), 0)</f>
        <v>0</v>
      </c>
      <c r="AF4" s="128">
        <f>SUM(AF6:AG30)</f>
        <v>0</v>
      </c>
      <c r="AG4" s="129"/>
      <c r="AH4" s="24">
        <f>IF($C$4&lt;&gt;"",IF(AF4=$C$4,'Tabla general'!$L$6,0), 0)</f>
        <v>0</v>
      </c>
      <c r="AI4" s="128">
        <f>SUM(AI6:AJ30)</f>
        <v>0</v>
      </c>
      <c r="AJ4" s="129"/>
      <c r="AK4" s="24">
        <f>IF($C$4&lt;&gt;"",IF(AI4=$C$4,'Tabla general'!$L$6,0), 0)</f>
        <v>0</v>
      </c>
      <c r="AL4" s="128">
        <f>SUM(AL6:AM30)</f>
        <v>0</v>
      </c>
      <c r="AM4" s="129"/>
      <c r="AN4" s="24">
        <f>IF($C$4&lt;&gt;"",IF(AL4=$C$4,'Tabla general'!$L$6,0), 0)</f>
        <v>0</v>
      </c>
      <c r="AO4" s="128">
        <f>SUM(AO6:AP30)</f>
        <v>0</v>
      </c>
      <c r="AP4" s="129"/>
      <c r="AQ4" s="24">
        <f>IF($C$4&lt;&gt;"",IF(AO4=$C$4,'Tabla general'!$L$6,0), 0)</f>
        <v>0</v>
      </c>
      <c r="AR4" s="128">
        <f>SUM(AR6:AS30)</f>
        <v>0</v>
      </c>
      <c r="AS4" s="129"/>
      <c r="AT4" s="24">
        <f>IF($C$4&lt;&gt;"",IF(AR4=$C$4,'Tabla general'!$L$6,0), 0)</f>
        <v>0</v>
      </c>
      <c r="AU4" s="128">
        <f>SUM(AU6:AV30)</f>
        <v>0</v>
      </c>
      <c r="AV4" s="129"/>
      <c r="AW4" s="24">
        <f>IF($C$4&lt;&gt;"",IF(AU4=$C$4,'Tabla general'!$L$6,0), 0)</f>
        <v>0</v>
      </c>
      <c r="AX4" s="119">
        <f>SUM(AX6:AY30)</f>
        <v>0</v>
      </c>
      <c r="AY4" s="120"/>
      <c r="AZ4" s="24">
        <f>IF($C$4&lt;&gt;"",IF(AX4=$C$4,'Tabla general'!$L$6,0), 0)</f>
        <v>0</v>
      </c>
    </row>
    <row r="5" spans="1:52" s="7" customFormat="1" ht="15.75" thickBot="1">
      <c r="A5" s="132" t="s">
        <v>68</v>
      </c>
      <c r="B5" s="132"/>
      <c r="C5" s="133" t="s">
        <v>69</v>
      </c>
      <c r="D5" s="134"/>
      <c r="E5" s="144" t="s">
        <v>70</v>
      </c>
      <c r="F5" s="144"/>
      <c r="G5" s="103" t="s">
        <v>59</v>
      </c>
      <c r="H5" s="145" t="s">
        <v>70</v>
      </c>
      <c r="I5" s="145"/>
      <c r="J5" s="104" t="s">
        <v>59</v>
      </c>
      <c r="K5" s="146" t="s">
        <v>70</v>
      </c>
      <c r="L5" s="147"/>
      <c r="M5" s="105" t="s">
        <v>59</v>
      </c>
      <c r="N5" s="148" t="s">
        <v>70</v>
      </c>
      <c r="O5" s="148"/>
      <c r="P5" s="106" t="s">
        <v>59</v>
      </c>
      <c r="Q5" s="151" t="s">
        <v>70</v>
      </c>
      <c r="R5" s="151"/>
      <c r="S5" s="98" t="s">
        <v>59</v>
      </c>
      <c r="T5" s="152" t="s">
        <v>70</v>
      </c>
      <c r="U5" s="152"/>
      <c r="V5" s="99" t="s">
        <v>59</v>
      </c>
      <c r="W5" s="153" t="s">
        <v>70</v>
      </c>
      <c r="X5" s="153"/>
      <c r="Y5" s="100" t="s">
        <v>59</v>
      </c>
      <c r="Z5" s="154" t="s">
        <v>70</v>
      </c>
      <c r="AA5" s="154"/>
      <c r="AB5" s="101" t="s">
        <v>59</v>
      </c>
      <c r="AC5" s="155" t="s">
        <v>70</v>
      </c>
      <c r="AD5" s="155"/>
      <c r="AE5" s="102" t="s">
        <v>59</v>
      </c>
      <c r="AF5" s="130" t="s">
        <v>70</v>
      </c>
      <c r="AG5" s="130"/>
      <c r="AH5" s="107" t="s">
        <v>59</v>
      </c>
      <c r="AI5" s="131" t="s">
        <v>70</v>
      </c>
      <c r="AJ5" s="131"/>
      <c r="AK5" s="108" t="s">
        <v>59</v>
      </c>
      <c r="AL5" s="149" t="s">
        <v>70</v>
      </c>
      <c r="AM5" s="149"/>
      <c r="AN5" s="109" t="s">
        <v>59</v>
      </c>
      <c r="AO5" s="150" t="s">
        <v>70</v>
      </c>
      <c r="AP5" s="150"/>
      <c r="AQ5" s="97" t="s">
        <v>59</v>
      </c>
      <c r="AR5" s="130" t="s">
        <v>70</v>
      </c>
      <c r="AS5" s="130"/>
      <c r="AT5" s="107" t="s">
        <v>59</v>
      </c>
      <c r="AU5" s="131" t="s">
        <v>70</v>
      </c>
      <c r="AV5" s="131"/>
      <c r="AW5" s="108" t="s">
        <v>59</v>
      </c>
      <c r="AX5" s="121" t="s">
        <v>70</v>
      </c>
      <c r="AY5" s="121"/>
      <c r="AZ5" s="111" t="s">
        <v>59</v>
      </c>
    </row>
    <row r="6" spans="1:52">
      <c r="A6" s="2" t="s">
        <v>91</v>
      </c>
      <c r="B6" s="2" t="s">
        <v>87</v>
      </c>
      <c r="C6" s="49"/>
      <c r="D6" s="50"/>
      <c r="E6" s="25"/>
      <c r="F6" s="25"/>
      <c r="G6" s="39">
        <f>IF(AND($C6="",$D6=""),0,IF(AND($C6&gt;$D6,E6&gt;F6),'Tabla general'!$L$4,IF(AND($D6&gt;$C6,F6&gt;E6),'Tabla general'!$L$4,IF(AND($C6=$D6,E6=F6),'Tabla general'!$L$4,0))) + IF(AND($C6=E6,$D6=F6),'Tabla general'!$L$5,0))</f>
        <v>0</v>
      </c>
      <c r="H6" s="25"/>
      <c r="I6" s="25"/>
      <c r="J6" s="26">
        <f>IF(AND($C6="",$D6=""),0,IF(AND($C6&gt;$D6,H6&gt;I6),'Tabla general'!$L$4,IF(AND($D6&gt;$C6,I6&gt;H6),'Tabla general'!$L$4,IF(AND($C6=$D6,H6=I6),'Tabla general'!$L$4,0))) + IF(AND($C6=H6,$D6=I6),'Tabla general'!$L$5,0))</f>
        <v>0</v>
      </c>
      <c r="K6" s="25"/>
      <c r="L6" s="25"/>
      <c r="M6" s="27">
        <f>IF(AND($C6="",$D6=""),0,IF(AND($C6&gt;$D6,K6&gt;L6),'Tabla general'!$L$4,IF(AND($D6&gt;$C6,L6&gt;K6),'Tabla general'!$L$4,IF(AND($C6=$D6,K6=L6),'Tabla general'!$L$4,0))) + IF(AND($C6=K6,$D6=L6),'Tabla general'!$L$5,0))</f>
        <v>0</v>
      </c>
      <c r="N6" s="25"/>
      <c r="O6" s="25"/>
      <c r="P6" s="28">
        <f>IF(AND($C6="",$D6=""),0,IF(AND($C6&gt;$D6,N6&gt;O6),'Tabla general'!$L$4,IF(AND($D6&gt;$C6,O6&gt;N6),'Tabla general'!$L$4,IF(AND($C6=$D6,N6=O6),'Tabla general'!$L$4,0))) + IF(AND($C6=N6,$D6=O6),'Tabla general'!$L$5,0))</f>
        <v>0</v>
      </c>
      <c r="Q6" s="25"/>
      <c r="R6" s="25"/>
      <c r="S6" s="29">
        <f>IF(AND($C6="",$D6=""),0,IF(AND($C6&gt;$D6,Q6&gt;R6),'Tabla general'!$L$4,IF(AND($D6&gt;$C6,R6&gt;Q6),'Tabla general'!$L$4,IF(AND($C6=$D6,Q6=R6),'Tabla general'!$L$4,0))) + IF(AND($C6=Q6,$D6=R6),'Tabla general'!$L$5,0))</f>
        <v>0</v>
      </c>
      <c r="T6" s="25"/>
      <c r="U6" s="25"/>
      <c r="V6" s="30">
        <f>IF(AND($C6="",$D6=""),0,IF(AND($C6&gt;$D6,T6&gt;U6),'Tabla general'!$L$4,IF(AND($D6&gt;$C6,U6&gt;T6),'Tabla general'!$L$4,IF(AND($C6=$D6,T6=U6),'Tabla general'!$L$4,0))) + IF(AND($C6=T6,$D6=U6),'Tabla general'!$L$5,0))</f>
        <v>0</v>
      </c>
      <c r="W6" s="25"/>
      <c r="X6" s="25"/>
      <c r="Y6" s="31">
        <f>IF(AND($C6="",$D6=""),0,IF(AND($C6&gt;$D6,W6&gt;X6),'Tabla general'!$L$4,IF(AND($D6&gt;$C6,X6&gt;W6),'Tabla general'!$L$4,IF(AND($C6=$D6,W6=X6),'Tabla general'!$L$4,0))) + IF(AND($C6=W6,$D6=X6),'Tabla general'!$L$5,0))</f>
        <v>0</v>
      </c>
      <c r="Z6" s="25"/>
      <c r="AA6" s="25"/>
      <c r="AB6" s="32">
        <f>IF(AND($C6="",$D6=""),0,IF(AND($C6&gt;$D6,Z6&gt;AA6),'Tabla general'!$L$4,IF(AND($D6&gt;$C6,AA6&gt;Z6),'Tabla general'!$L$4,IF(AND($C6=$D6,Z6=AA6),'Tabla general'!$L$4,0))) + IF(AND($C6=Z6,$D6=AA6),'Tabla general'!$L$5,0))</f>
        <v>0</v>
      </c>
      <c r="AC6" s="25"/>
      <c r="AD6" s="25"/>
      <c r="AE6" s="33">
        <f>IF(AND($C6="",$D6=""),0,IF(AND($C6&gt;$D6,AC6&gt;AD6),'Tabla general'!$L$4,IF(AND($D6&gt;$C6,AD6&gt;AC6),'Tabla general'!$L$4,IF(AND($C6=$D6,AC6=AD6),'Tabla general'!$L$4,0))) + IF(AND($C6=AC6,$D6=AD6),'Tabla general'!$L$5,0))</f>
        <v>0</v>
      </c>
      <c r="AF6" s="25"/>
      <c r="AG6" s="25"/>
      <c r="AH6" s="34">
        <f>IF(AND($C6="",$D6=""),0,IF(AND($C6&gt;$D6,AF6&gt;AG6),'Tabla general'!$L$4,IF(AND($D6&gt;$C6,AG6&gt;AF6),'Tabla general'!$L$4,IF(AND($C6=$D6,AF6=AG6),'Tabla general'!$L$4,0))) + IF(AND($C6=AF6,$D6=AG6),'Tabla general'!$L$5,0))</f>
        <v>0</v>
      </c>
      <c r="AI6" s="25"/>
      <c r="AJ6" s="25"/>
      <c r="AK6" s="35">
        <f>IF(AND($C6="",$D6=""),0,IF(AND($C6&gt;$D6,AI6&gt;AJ6),'Tabla general'!$L$4,IF(AND($D6&gt;$C6,AJ6&gt;AI6),'Tabla general'!$L$4,IF(AND($C6=$D6,AI6=AJ6),'Tabla general'!$L$4,0))) + IF(AND($C6=AI6,$D6=AJ6),'Tabla general'!$L$5,0))</f>
        <v>0</v>
      </c>
      <c r="AL6" s="25"/>
      <c r="AM6" s="25"/>
      <c r="AN6" s="36">
        <f>IF(AND($C6="",$D6=""),0,IF(AND($C6&gt;$D6,AL6&gt;AM6),'Tabla general'!$L$4,IF(AND($D6&gt;$C6,AM6&gt;AL6),'Tabla general'!$L$4,IF(AND($C6=$D6,AL6=AM6),'Tabla general'!$L$4,0))) + IF(AND($C6=AL6,$D6=AM6),'Tabla general'!$L$5,0))</f>
        <v>0</v>
      </c>
      <c r="AO6" s="25"/>
      <c r="AP6" s="25"/>
      <c r="AQ6" s="37">
        <f>IF(AND($C6="",$D6=""),0,IF(AND($C6&gt;$D6,AO6&gt;AP6),'Tabla general'!$L$4,IF(AND($D6&gt;$C6,AP6&gt;AO6),'Tabla general'!$L$4,IF(AND($C6=$D6,AO6=AP6),'Tabla general'!$L$4,0))) + IF(AND($C6=AO6,$D6=AP6),'Tabla general'!$L$5,0))</f>
        <v>0</v>
      </c>
      <c r="AR6" s="25"/>
      <c r="AS6" s="25"/>
      <c r="AT6" s="34">
        <f>IF(AND($C6="",$D6=""),0,IF(AND($C6&gt;$D6,AR6&gt;AS6),'Tabla general'!$L$4,IF(AND($D6&gt;$C6,AS6&gt;AR6),'Tabla general'!$L$4,IF(AND($C6=$D6,AR6=AS6),'Tabla general'!$L$4,0))) + IF(AND($C6=AR6,$D6=AS6),'Tabla general'!$L$5,0))</f>
        <v>0</v>
      </c>
      <c r="AU6" s="25"/>
      <c r="AV6" s="25"/>
      <c r="AW6" s="35">
        <f>IF(AND($C6="",$D6=""),0,IF(AND($C6&gt;$D6,AU6&gt;AV6),'Tabla general'!$L$4,IF(AND($D6&gt;$C6,AV6&gt;AU6),'Tabla general'!$L$4,IF(AND($C6=$D6,AU6=AV6),'Tabla general'!$L$4,0))) + IF(AND($C6=AU6,$D6=AV6),'Tabla general'!$L$5,0))</f>
        <v>0</v>
      </c>
      <c r="AX6" s="47"/>
      <c r="AY6" s="46"/>
      <c r="AZ6" s="35">
        <f>IF(AND($C6="",$D6=""),0,IF(AND($C6&gt;$D6,AX6&gt;AY6),'Tabla general'!$L$4,IF(AND($D6&gt;$C6,AY6&gt;AX6),'Tabla general'!$L$4,IF(AND($C6=$D6,AX6=AY6),'Tabla general'!$L$4,0))) + IF(AND($C6=AX6,$D6=AY6),'Tabla general'!$L$5,0))</f>
        <v>0</v>
      </c>
    </row>
    <row r="7" spans="1:52">
      <c r="A7" s="2" t="s">
        <v>86</v>
      </c>
      <c r="B7" s="2" t="s">
        <v>82</v>
      </c>
      <c r="C7" s="49"/>
      <c r="D7" s="50"/>
      <c r="E7" s="38"/>
      <c r="F7" s="38"/>
      <c r="G7" s="39">
        <f>IF(AND($C7="",$D7=""),0,IF(AND($C7&gt;$D7,E7&gt;F7),'Tabla general'!$L$4,IF(AND($D7&gt;$C7,F7&gt;E7),'Tabla general'!$L$4,IF(AND($C7=$D7,E7=F7),'Tabla general'!$L$4,0))) + IF(AND($C7=E7,$D7=F7),'Tabla general'!$L$5,0))</f>
        <v>0</v>
      </c>
      <c r="H7" s="38"/>
      <c r="I7" s="38"/>
      <c r="J7" s="26">
        <f>IF(AND($C7="",$D7=""),0,IF(AND($C7&gt;$D7,H7&gt;I7),'Tabla general'!$L$4,IF(AND($D7&gt;$C7,I7&gt;H7),'Tabla general'!$L$4,IF(AND($C7=$D7,H7=I7),'Tabla general'!$L$4,0))) + IF(AND($C7=H7,$D7=I7),'Tabla general'!$L$5,0))</f>
        <v>0</v>
      </c>
      <c r="K7" s="38"/>
      <c r="L7" s="38"/>
      <c r="M7" s="27">
        <f>IF(AND($C7="",$D7=""),0,IF(AND($C7&gt;$D7,K7&gt;L7),'Tabla general'!$L$4,IF(AND($D7&gt;$C7,L7&gt;K7),'Tabla general'!$L$4,IF(AND($C7=$D7,K7=L7),'Tabla general'!$L$4,0))) + IF(AND($C7=K7,$D7=L7),'Tabla general'!$L$5,0))</f>
        <v>0</v>
      </c>
      <c r="N7" s="38"/>
      <c r="O7" s="38"/>
      <c r="P7" s="28">
        <f>IF(AND($C7="",$D7=""),0,IF(AND($C7&gt;$D7,N7&gt;O7),'Tabla general'!$L$4,IF(AND($D7&gt;$C7,O7&gt;N7),'Tabla general'!$L$4,IF(AND($C7=$D7,N7=O7),'Tabla general'!$L$4,0))) + IF(AND($C7=N7,$D7=O7),'Tabla general'!$L$5,0))</f>
        <v>0</v>
      </c>
      <c r="Q7" s="38"/>
      <c r="R7" s="38"/>
      <c r="S7" s="29">
        <f>IF(AND($C7="",$D7=""),0,IF(AND($C7&gt;$D7,Q7&gt;R7),'Tabla general'!$L$4,IF(AND($D7&gt;$C7,R7&gt;Q7),'Tabla general'!$L$4,IF(AND($C7=$D7,Q7=R7),'Tabla general'!$L$4,0))) + IF(AND($C7=Q7,$D7=R7),'Tabla general'!$L$5,0))</f>
        <v>0</v>
      </c>
      <c r="T7" s="38"/>
      <c r="U7" s="38"/>
      <c r="V7" s="30">
        <f>IF(AND($C7="",$D7=""),0,IF(AND($C7&gt;$D7,T7&gt;U7),'Tabla general'!$L$4,IF(AND($D7&gt;$C7,U7&gt;T7),'Tabla general'!$L$4,IF(AND($C7=$D7,T7=U7),'Tabla general'!$L$4,0))) + IF(AND($C7=T7,$D7=U7),'Tabla general'!$L$5,0))</f>
        <v>0</v>
      </c>
      <c r="W7" s="38"/>
      <c r="X7" s="38"/>
      <c r="Y7" s="31">
        <f>IF(AND($C7="",$D7=""),0,IF(AND($C7&gt;$D7,W7&gt;X7),'Tabla general'!$L$4,IF(AND($D7&gt;$C7,X7&gt;W7),'Tabla general'!$L$4,IF(AND($C7=$D7,W7=X7),'Tabla general'!$L$4,0))) + IF(AND($C7=W7,$D7=X7),'Tabla general'!$L$5,0))</f>
        <v>0</v>
      </c>
      <c r="Z7" s="38"/>
      <c r="AA7" s="38"/>
      <c r="AB7" s="32">
        <f>IF(AND($C7="",$D7=""),0,IF(AND($C7&gt;$D7,Z7&gt;AA7),'Tabla general'!$L$4,IF(AND($D7&gt;$C7,AA7&gt;Z7),'Tabla general'!$L$4,IF(AND($C7=$D7,Z7=AA7),'Tabla general'!$L$4,0))) + IF(AND($C7=Z7,$D7=AA7),'Tabla general'!$L$5,0))</f>
        <v>0</v>
      </c>
      <c r="AC7" s="38"/>
      <c r="AD7" s="38"/>
      <c r="AE7" s="33">
        <f>IF(AND($C7="",$D7=""),0,IF(AND($C7&gt;$D7,AC7&gt;AD7),'Tabla general'!$L$4,IF(AND($D7&gt;$C7,AD7&gt;AC7),'Tabla general'!$L$4,IF(AND($C7=$D7,AC7=AD7),'Tabla general'!$L$4,0))) + IF(AND($C7=AC7,$D7=AD7),'Tabla general'!$L$5,0))</f>
        <v>0</v>
      </c>
      <c r="AF7" s="38"/>
      <c r="AG7" s="38"/>
      <c r="AH7" s="34">
        <f>IF(AND($C7="",$D7=""),0,IF(AND($C7&gt;$D7,AF7&gt;AG7),'Tabla general'!$L$4,IF(AND($D7&gt;$C7,AG7&gt;AF7),'Tabla general'!$L$4,IF(AND($C7=$D7,AF7=AG7),'Tabla general'!$L$4,0))) + IF(AND($C7=AF7,$D7=AG7),'Tabla general'!$L$5,0))</f>
        <v>0</v>
      </c>
      <c r="AI7" s="38"/>
      <c r="AJ7" s="38"/>
      <c r="AK7" s="35">
        <f>IF(AND($C7="",$D7=""),0,IF(AND($C7&gt;$D7,AI7&gt;AJ7),'Tabla general'!$L$4,IF(AND($D7&gt;$C7,AJ7&gt;AI7),'Tabla general'!$L$4,IF(AND($C7=$D7,AI7=AJ7),'Tabla general'!$L$4,0))) + IF(AND($C7=AI7,$D7=AJ7),'Tabla general'!$L$5,0))</f>
        <v>0</v>
      </c>
      <c r="AL7" s="38"/>
      <c r="AM7" s="38"/>
      <c r="AN7" s="36">
        <f>IF(AND($C7="",$D7=""),0,IF(AND($C7&gt;$D7,AL7&gt;AM7),'Tabla general'!$L$4,IF(AND($D7&gt;$C7,AM7&gt;AL7),'Tabla general'!$L$4,IF(AND($C7=$D7,AL7=AM7),'Tabla general'!$L$4,0))) + IF(AND($C7=AL7,$D7=AM7),'Tabla general'!$L$5,0))</f>
        <v>0</v>
      </c>
      <c r="AO7" s="38"/>
      <c r="AP7" s="38"/>
      <c r="AQ7" s="37">
        <f>IF(AND($C7="",$D7=""),0,IF(AND($C7&gt;$D7,AO7&gt;AP7),'Tabla general'!$L$4,IF(AND($D7&gt;$C7,AP7&gt;AO7),'Tabla general'!$L$4,IF(AND($C7=$D7,AO7=AP7),'Tabla general'!$L$4,0))) + IF(AND($C7=AO7,$D7=AP7),'Tabla general'!$L$5,0))</f>
        <v>0</v>
      </c>
      <c r="AR7" s="38"/>
      <c r="AS7" s="38"/>
      <c r="AT7" s="34">
        <f>IF(AND($C7="",$D7=""),0,IF(AND($C7&gt;$D7,AR7&gt;AS7),'Tabla general'!$L$4,IF(AND($D7&gt;$C7,AS7&gt;AR7),'Tabla general'!$L$4,IF(AND($C7=$D7,AR7=AS7),'Tabla general'!$L$4,0))) + IF(AND($C7=AR7,$D7=AS7),'Tabla general'!$L$5,0))</f>
        <v>0</v>
      </c>
      <c r="AU7" s="38"/>
      <c r="AV7" s="38"/>
      <c r="AW7" s="35">
        <f>IF(AND($C7="",$D7=""),0,IF(AND($C7&gt;$D7,AU7&gt;AV7),'Tabla general'!$L$4,IF(AND($D7&gt;$C7,AV7&gt;AU7),'Tabla general'!$L$4,IF(AND($C7=$D7,AU7=AV7),'Tabla general'!$L$4,0))) + IF(AND($C7=AU7,$D7=AV7),'Tabla general'!$L$5,0))</f>
        <v>0</v>
      </c>
      <c r="AX7" s="48"/>
      <c r="AY7" s="46"/>
      <c r="AZ7" s="35">
        <f>IF(AND($C7="",$D7=""),0,IF(AND($C7&gt;$D7,AX7&gt;AY7),'Tabla general'!$L$4,IF(AND($D7&gt;$C7,AY7&gt;AX7),'Tabla general'!$L$4,IF(AND($C7=$D7,AX7=AY7),'Tabla general'!$L$4,0))) + IF(AND($C7=AX7,$D7=AY7),'Tabla general'!$L$5,0))</f>
        <v>0</v>
      </c>
    </row>
    <row r="8" spans="1:52">
      <c r="A8" s="2" t="s">
        <v>88</v>
      </c>
      <c r="B8" s="2" t="s">
        <v>92</v>
      </c>
      <c r="C8" s="49"/>
      <c r="D8" s="50"/>
      <c r="E8" s="38"/>
      <c r="F8" s="38"/>
      <c r="G8" s="39">
        <f>IF(AND($C8="",$D8=""),0,IF(AND($C8&gt;$D8,E8&gt;F8),'Tabla general'!$L$4,IF(AND($D8&gt;$C8,F8&gt;E8),'Tabla general'!$L$4,IF(AND($C8=$D8,E8=F8),'Tabla general'!$L$4,0))) + IF(AND($C8=E8,$D8=F8),'Tabla general'!$L$5,0))</f>
        <v>0</v>
      </c>
      <c r="H8" s="38"/>
      <c r="I8" s="38"/>
      <c r="J8" s="26">
        <f>IF(AND($C8="",$D8=""),0,IF(AND($C8&gt;$D8,H8&gt;I8),'Tabla general'!$L$4,IF(AND($D8&gt;$C8,I8&gt;H8),'Tabla general'!$L$4,IF(AND($C8=$D8,H8=I8),'Tabla general'!$L$4,0))) + IF(AND($C8=H8,$D8=I8),'Tabla general'!$L$5,0))</f>
        <v>0</v>
      </c>
      <c r="K8" s="38"/>
      <c r="L8" s="38"/>
      <c r="M8" s="27">
        <f>IF(AND($C8="",$D8=""),0,IF(AND($C8&gt;$D8,K8&gt;L8),'Tabla general'!$L$4,IF(AND($D8&gt;$C8,L8&gt;K8),'Tabla general'!$L$4,IF(AND($C8=$D8,K8=L8),'Tabla general'!$L$4,0))) + IF(AND($C8=K8,$D8=L8),'Tabla general'!$L$5,0))</f>
        <v>0</v>
      </c>
      <c r="N8" s="38"/>
      <c r="O8" s="38"/>
      <c r="P8" s="28">
        <f>IF(AND($C8="",$D8=""),0,IF(AND($C8&gt;$D8,N8&gt;O8),'Tabla general'!$L$4,IF(AND($D8&gt;$C8,O8&gt;N8),'Tabla general'!$L$4,IF(AND($C8=$D8,N8=O8),'Tabla general'!$L$4,0))) + IF(AND($C8=N8,$D8=O8),'Tabla general'!$L$5,0))</f>
        <v>0</v>
      </c>
      <c r="Q8" s="38"/>
      <c r="R8" s="38"/>
      <c r="S8" s="29">
        <f>IF(AND($C8="",$D8=""),0,IF(AND($C8&gt;$D8,Q8&gt;R8),'Tabla general'!$L$4,IF(AND($D8&gt;$C8,R8&gt;Q8),'Tabla general'!$L$4,IF(AND($C8=$D8,Q8=R8),'Tabla general'!$L$4,0))) + IF(AND($C8=Q8,$D8=R8),'Tabla general'!$L$5,0))</f>
        <v>0</v>
      </c>
      <c r="T8" s="38"/>
      <c r="U8" s="38"/>
      <c r="V8" s="30">
        <f>IF(AND($C8="",$D8=""),0,IF(AND($C8&gt;$D8,T8&gt;U8),'Tabla general'!$L$4,IF(AND($D8&gt;$C8,U8&gt;T8),'Tabla general'!$L$4,IF(AND($C8=$D8,T8=U8),'Tabla general'!$L$4,0))) + IF(AND($C8=T8,$D8=U8),'Tabla general'!$L$5,0))</f>
        <v>0</v>
      </c>
      <c r="W8" s="38"/>
      <c r="X8" s="38"/>
      <c r="Y8" s="31">
        <f>IF(AND($C8="",$D8=""),0,IF(AND($C8&gt;$D8,W8&gt;X8),'Tabla general'!$L$4,IF(AND($D8&gt;$C8,X8&gt;W8),'Tabla general'!$L$4,IF(AND($C8=$D8,W8=X8),'Tabla general'!$L$4,0))) + IF(AND($C8=W8,$D8=X8),'Tabla general'!$L$5,0))</f>
        <v>0</v>
      </c>
      <c r="Z8" s="38"/>
      <c r="AA8" s="38"/>
      <c r="AB8" s="32">
        <f>IF(AND($C8="",$D8=""),0,IF(AND($C8&gt;$D8,Z8&gt;AA8),'Tabla general'!$L$4,IF(AND($D8&gt;$C8,AA8&gt;Z8),'Tabla general'!$L$4,IF(AND($C8=$D8,Z8=AA8),'Tabla general'!$L$4,0))) + IF(AND($C8=Z8,$D8=AA8),'Tabla general'!$L$5,0))</f>
        <v>0</v>
      </c>
      <c r="AC8" s="38"/>
      <c r="AD8" s="38"/>
      <c r="AE8" s="33">
        <f>IF(AND($C8="",$D8=""),0,IF(AND($C8&gt;$D8,AC8&gt;AD8),'Tabla general'!$L$4,IF(AND($D8&gt;$C8,AD8&gt;AC8),'Tabla general'!$L$4,IF(AND($C8=$D8,AC8=AD8),'Tabla general'!$L$4,0))) + IF(AND($C8=AC8,$D8=AD8),'Tabla general'!$L$5,0))</f>
        <v>0</v>
      </c>
      <c r="AF8" s="38"/>
      <c r="AG8" s="38"/>
      <c r="AH8" s="34">
        <f>IF(AND($C8="",$D8=""),0,IF(AND($C8&gt;$D8,AF8&gt;AG8),'Tabla general'!$L$4,IF(AND($D8&gt;$C8,AG8&gt;AF8),'Tabla general'!$L$4,IF(AND($C8=$D8,AF8=AG8),'Tabla general'!$L$4,0))) + IF(AND($C8=AF8,$D8=AG8),'Tabla general'!$L$5,0))</f>
        <v>0</v>
      </c>
      <c r="AI8" s="38"/>
      <c r="AJ8" s="38"/>
      <c r="AK8" s="35">
        <f>IF(AND($C8="",$D8=""),0,IF(AND($C8&gt;$D8,AI8&gt;AJ8),'Tabla general'!$L$4,IF(AND($D8&gt;$C8,AJ8&gt;AI8),'Tabla general'!$L$4,IF(AND($C8=$D8,AI8=AJ8),'Tabla general'!$L$4,0))) + IF(AND($C8=AI8,$D8=AJ8),'Tabla general'!$L$5,0))</f>
        <v>0</v>
      </c>
      <c r="AL8" s="38"/>
      <c r="AM8" s="38"/>
      <c r="AN8" s="36">
        <f>IF(AND($C8="",$D8=""),0,IF(AND($C8&gt;$D8,AL8&gt;AM8),'Tabla general'!$L$4,IF(AND($D8&gt;$C8,AM8&gt;AL8),'Tabla general'!$L$4,IF(AND($C8=$D8,AL8=AM8),'Tabla general'!$L$4,0))) + IF(AND($C8=AL8,$D8=AM8),'Tabla general'!$L$5,0))</f>
        <v>0</v>
      </c>
      <c r="AO8" s="38"/>
      <c r="AP8" s="38"/>
      <c r="AQ8" s="37">
        <f>IF(AND($C8="",$D8=""),0,IF(AND($C8&gt;$D8,AO8&gt;AP8),'Tabla general'!$L$4,IF(AND($D8&gt;$C8,AP8&gt;AO8),'Tabla general'!$L$4,IF(AND($C8=$D8,AO8=AP8),'Tabla general'!$L$4,0))) + IF(AND($C8=AO8,$D8=AP8),'Tabla general'!$L$5,0))</f>
        <v>0</v>
      </c>
      <c r="AR8" s="38"/>
      <c r="AS8" s="38"/>
      <c r="AT8" s="34">
        <f>IF(AND($C8="",$D8=""),0,IF(AND($C8&gt;$D8,AR8&gt;AS8),'Tabla general'!$L$4,IF(AND($D8&gt;$C8,AS8&gt;AR8),'Tabla general'!$L$4,IF(AND($C8=$D8,AR8=AS8),'Tabla general'!$L$4,0))) + IF(AND($C8=AR8,$D8=AS8),'Tabla general'!$L$5,0))</f>
        <v>0</v>
      </c>
      <c r="AU8" s="38"/>
      <c r="AV8" s="38"/>
      <c r="AW8" s="35">
        <f>IF(AND($C8="",$D8=""),0,IF(AND($C8&gt;$D8,AU8&gt;AV8),'Tabla general'!$L$4,IF(AND($D8&gt;$C8,AV8&gt;AU8),'Tabla general'!$L$4,IF(AND($C8=$D8,AU8=AV8),'Tabla general'!$L$4,0))) + IF(AND($C8=AU8,$D8=AV8),'Tabla general'!$L$5,0))</f>
        <v>0</v>
      </c>
      <c r="AX8" s="48"/>
      <c r="AY8" s="46"/>
      <c r="AZ8" s="35">
        <f>IF(AND($C8="",$D8=""),0,IF(AND($C8&gt;$D8,AX8&gt;AY8),'Tabla general'!$L$4,IF(AND($D8&gt;$C8,AY8&gt;AX8),'Tabla general'!$L$4,IF(AND($C8=$D8,AX8=AY8),'Tabla general'!$L$4,0))) + IF(AND($C8=AX8,$D8=AY8),'Tabla general'!$L$5,0))</f>
        <v>0</v>
      </c>
    </row>
    <row r="9" spans="1:52">
      <c r="A9" s="5" t="s">
        <v>95</v>
      </c>
      <c r="B9" s="5" t="s">
        <v>104</v>
      </c>
      <c r="C9" s="49"/>
      <c r="D9" s="50"/>
      <c r="E9" s="38"/>
      <c r="F9" s="38"/>
      <c r="G9" s="39">
        <f>IF(AND($C9="",$D9=""),0,IF(AND($C9&gt;$D9,E9&gt;F9),'Tabla general'!$L$4,IF(AND($D9&gt;$C9,F9&gt;E9),'Tabla general'!$L$4,IF(AND($C9=$D9,E9=F9),'Tabla general'!$L$4,0))) + IF(AND($C9=E9,$D9=F9),'Tabla general'!$L$5,0))</f>
        <v>0</v>
      </c>
      <c r="H9" s="38"/>
      <c r="I9" s="38"/>
      <c r="J9" s="26">
        <f>IF(AND($C9="",$D9=""),0,IF(AND($C9&gt;$D9,H9&gt;I9),'Tabla general'!$L$4,IF(AND($D9&gt;$C9,I9&gt;H9),'Tabla general'!$L$4,IF(AND($C9=$D9,H9=I9),'Tabla general'!$L$4,0))) + IF(AND($C9=H9,$D9=I9),'Tabla general'!$L$5,0))</f>
        <v>0</v>
      </c>
      <c r="K9" s="38"/>
      <c r="L9" s="38"/>
      <c r="M9" s="27">
        <f>IF(AND($C9="",$D9=""),0,IF(AND($C9&gt;$D9,K9&gt;L9),'Tabla general'!$L$4,IF(AND($D9&gt;$C9,L9&gt;K9),'Tabla general'!$L$4,IF(AND($C9=$D9,K9=L9),'Tabla general'!$L$4,0))) + IF(AND($C9=K9,$D9=L9),'Tabla general'!$L$5,0))</f>
        <v>0</v>
      </c>
      <c r="N9" s="38"/>
      <c r="O9" s="38"/>
      <c r="P9" s="28">
        <f>IF(AND($C9="",$D9=""),0,IF(AND($C9&gt;$D9,N9&gt;O9),'Tabla general'!$L$4,IF(AND($D9&gt;$C9,O9&gt;N9),'Tabla general'!$L$4,IF(AND($C9=$D9,N9=O9),'Tabla general'!$L$4,0))) + IF(AND($C9=N9,$D9=O9),'Tabla general'!$L$5,0))</f>
        <v>0</v>
      </c>
      <c r="Q9" s="38"/>
      <c r="R9" s="38"/>
      <c r="S9" s="29">
        <f>IF(AND($C9="",$D9=""),0,IF(AND($C9&gt;$D9,Q9&gt;R9),'Tabla general'!$L$4,IF(AND($D9&gt;$C9,R9&gt;Q9),'Tabla general'!$L$4,IF(AND($C9=$D9,Q9=R9),'Tabla general'!$L$4,0))) + IF(AND($C9=Q9,$D9=R9),'Tabla general'!$L$5,0))</f>
        <v>0</v>
      </c>
      <c r="T9" s="38"/>
      <c r="U9" s="38"/>
      <c r="V9" s="30">
        <f>IF(AND($C9="",$D9=""),0,IF(AND($C9&gt;$D9,T9&gt;U9),'Tabla general'!$L$4,IF(AND($D9&gt;$C9,U9&gt;T9),'Tabla general'!$L$4,IF(AND($C9=$D9,T9=U9),'Tabla general'!$L$4,0))) + IF(AND($C9=T9,$D9=U9),'Tabla general'!$L$5,0))</f>
        <v>0</v>
      </c>
      <c r="W9" s="38"/>
      <c r="X9" s="38"/>
      <c r="Y9" s="31">
        <f>IF(AND($C9="",$D9=""),0,IF(AND($C9&gt;$D9,W9&gt;X9),'Tabla general'!$L$4,IF(AND($D9&gt;$C9,X9&gt;W9),'Tabla general'!$L$4,IF(AND($C9=$D9,W9=X9),'Tabla general'!$L$4,0))) + IF(AND($C9=W9,$D9=X9),'Tabla general'!$L$5,0))</f>
        <v>0</v>
      </c>
      <c r="Z9" s="38"/>
      <c r="AA9" s="38"/>
      <c r="AB9" s="32">
        <f>IF(AND($C9="",$D9=""),0,IF(AND($C9&gt;$D9,Z9&gt;AA9),'Tabla general'!$L$4,IF(AND($D9&gt;$C9,AA9&gt;Z9),'Tabla general'!$L$4,IF(AND($C9=$D9,Z9=AA9),'Tabla general'!$L$4,0))) + IF(AND($C9=Z9,$D9=AA9),'Tabla general'!$L$5,0))</f>
        <v>0</v>
      </c>
      <c r="AC9" s="38"/>
      <c r="AD9" s="38"/>
      <c r="AE9" s="33">
        <f>IF(AND($C9="",$D9=""),0,IF(AND($C9&gt;$D9,AC9&gt;AD9),'Tabla general'!$L$4,IF(AND($D9&gt;$C9,AD9&gt;AC9),'Tabla general'!$L$4,IF(AND($C9=$D9,AC9=AD9),'Tabla general'!$L$4,0))) + IF(AND($C9=AC9,$D9=AD9),'Tabla general'!$L$5,0))</f>
        <v>0</v>
      </c>
      <c r="AF9" s="38"/>
      <c r="AG9" s="38"/>
      <c r="AH9" s="34">
        <f>IF(AND($C9="",$D9=""),0,IF(AND($C9&gt;$D9,AF9&gt;AG9),'Tabla general'!$L$4,IF(AND($D9&gt;$C9,AG9&gt;AF9),'Tabla general'!$L$4,IF(AND($C9=$D9,AF9=AG9),'Tabla general'!$L$4,0))) + IF(AND($C9=AF9,$D9=AG9),'Tabla general'!$L$5,0))</f>
        <v>0</v>
      </c>
      <c r="AI9" s="38"/>
      <c r="AJ9" s="38"/>
      <c r="AK9" s="35">
        <f>IF(AND($C9="",$D9=""),0,IF(AND($C9&gt;$D9,AI9&gt;AJ9),'Tabla general'!$L$4,IF(AND($D9&gt;$C9,AJ9&gt;AI9),'Tabla general'!$L$4,IF(AND($C9=$D9,AI9=AJ9),'Tabla general'!$L$4,0))) + IF(AND($C9=AI9,$D9=AJ9),'Tabla general'!$L$5,0))</f>
        <v>0</v>
      </c>
      <c r="AL9" s="38"/>
      <c r="AM9" s="38"/>
      <c r="AN9" s="36">
        <f>IF(AND($C9="",$D9=""),0,IF(AND($C9&gt;$D9,AL9&gt;AM9),'Tabla general'!$L$4,IF(AND($D9&gt;$C9,AM9&gt;AL9),'Tabla general'!$L$4,IF(AND($C9=$D9,AL9=AM9),'Tabla general'!$L$4,0))) + IF(AND($C9=AL9,$D9=AM9),'Tabla general'!$L$5,0))</f>
        <v>0</v>
      </c>
      <c r="AO9" s="38"/>
      <c r="AP9" s="38"/>
      <c r="AQ9" s="37">
        <f>IF(AND($C9="",$D9=""),0,IF(AND($C9&gt;$D9,AO9&gt;AP9),'Tabla general'!$L$4,IF(AND($D9&gt;$C9,AP9&gt;AO9),'Tabla general'!$L$4,IF(AND($C9=$D9,AO9=AP9),'Tabla general'!$L$4,0))) + IF(AND($C9=AO9,$D9=AP9),'Tabla general'!$L$5,0))</f>
        <v>0</v>
      </c>
      <c r="AR9" s="38"/>
      <c r="AS9" s="38"/>
      <c r="AT9" s="34">
        <f>IF(AND($C9="",$D9=""),0,IF(AND($C9&gt;$D9,AR9&gt;AS9),'Tabla general'!$L$4,IF(AND($D9&gt;$C9,AS9&gt;AR9),'Tabla general'!$L$4,IF(AND($C9=$D9,AR9=AS9),'Tabla general'!$L$4,0))) + IF(AND($C9=AR9,$D9=AS9),'Tabla general'!$L$5,0))</f>
        <v>0</v>
      </c>
      <c r="AU9" s="38"/>
      <c r="AV9" s="38"/>
      <c r="AW9" s="35">
        <f>IF(AND($C9="",$D9=""),0,IF(AND($C9&gt;$D9,AU9&gt;AV9),'Tabla general'!$L$4,IF(AND($D9&gt;$C9,AV9&gt;AU9),'Tabla general'!$L$4,IF(AND($C9=$D9,AU9=AV9),'Tabla general'!$L$4,0))) + IF(AND($C9=AU9,$D9=AV9),'Tabla general'!$L$5,0))</f>
        <v>0</v>
      </c>
      <c r="AX9" s="48"/>
      <c r="AY9" s="46"/>
      <c r="AZ9" s="35">
        <f>IF(AND($C9="",$D9=""),0,IF(AND($C9&gt;$D9,AX9&gt;AY9),'Tabla general'!$L$4,IF(AND($D9&gt;$C9,AY9&gt;AX9),'Tabla general'!$L$4,IF(AND($C9=$D9,AX9=AY9),'Tabla general'!$L$4,0))) + IF(AND($C9=AX9,$D9=AY9),'Tabla general'!$L$5,0))</f>
        <v>0</v>
      </c>
    </row>
    <row r="10" spans="1:52">
      <c r="A10" s="2" t="s">
        <v>105</v>
      </c>
      <c r="B10" s="2" t="s">
        <v>90</v>
      </c>
      <c r="C10" s="49"/>
      <c r="D10" s="50"/>
      <c r="E10" s="38"/>
      <c r="F10" s="38"/>
      <c r="G10" s="39">
        <f>IF(AND($C10="",$D10=""),0,IF(AND($C10&gt;$D10,E10&gt;F10),'Tabla general'!$L$4,IF(AND($D10&gt;$C10,F10&gt;E10),'Tabla general'!$L$4,IF(AND($C10=$D10,E10=F10),'Tabla general'!$L$4,0))) + IF(AND($C10=E10,$D10=F10),'Tabla general'!$L$5,0))</f>
        <v>0</v>
      </c>
      <c r="H10" s="38"/>
      <c r="I10" s="38"/>
      <c r="J10" s="26">
        <f>IF(AND($C10="",$D10=""),0,IF(AND($C10&gt;$D10,H10&gt;I10),'Tabla general'!$L$4,IF(AND($D10&gt;$C10,I10&gt;H10),'Tabla general'!$L$4,IF(AND($C10=$D10,H10=I10),'Tabla general'!$L$4,0))) + IF(AND($C10=H10,$D10=I10),'Tabla general'!$L$5,0))</f>
        <v>0</v>
      </c>
      <c r="K10" s="38"/>
      <c r="L10" s="38"/>
      <c r="M10" s="27">
        <f>IF(AND($C10="",$D10=""),0,IF(AND($C10&gt;$D10,K10&gt;L10),'Tabla general'!$L$4,IF(AND($D10&gt;$C10,L10&gt;K10),'Tabla general'!$L$4,IF(AND($C10=$D10,K10=L10),'Tabla general'!$L$4,0))) + IF(AND($C10=K10,$D10=L10),'Tabla general'!$L$5,0))</f>
        <v>0</v>
      </c>
      <c r="N10" s="38"/>
      <c r="O10" s="38"/>
      <c r="P10" s="28">
        <f>IF(AND($C10="",$D10=""),0,IF(AND($C10&gt;$D10,N10&gt;O10),'Tabla general'!$L$4,IF(AND($D10&gt;$C10,O10&gt;N10),'Tabla general'!$L$4,IF(AND($C10=$D10,N10=O10),'Tabla general'!$L$4,0))) + IF(AND($C10=N10,$D10=O10),'Tabla general'!$L$5,0))</f>
        <v>0</v>
      </c>
      <c r="Q10" s="38"/>
      <c r="R10" s="38"/>
      <c r="S10" s="29">
        <f>IF(AND($C10="",$D10=""),0,IF(AND($C10&gt;$D10,Q10&gt;R10),'Tabla general'!$L$4,IF(AND($D10&gt;$C10,R10&gt;Q10),'Tabla general'!$L$4,IF(AND($C10=$D10,Q10=R10),'Tabla general'!$L$4,0))) + IF(AND($C10=Q10,$D10=R10),'Tabla general'!$L$5,0))</f>
        <v>0</v>
      </c>
      <c r="T10" s="38"/>
      <c r="U10" s="38"/>
      <c r="V10" s="30">
        <f>IF(AND($C10="",$D10=""),0,IF(AND($C10&gt;$D10,T10&gt;U10),'Tabla general'!$L$4,IF(AND($D10&gt;$C10,U10&gt;T10),'Tabla general'!$L$4,IF(AND($C10=$D10,T10=U10),'Tabla general'!$L$4,0))) + IF(AND($C10=T10,$D10=U10),'Tabla general'!$L$5,0))</f>
        <v>0</v>
      </c>
      <c r="W10" s="38"/>
      <c r="X10" s="38"/>
      <c r="Y10" s="31">
        <f>IF(AND($C10="",$D10=""),0,IF(AND($C10&gt;$D10,W10&gt;X10),'Tabla general'!$L$4,IF(AND($D10&gt;$C10,X10&gt;W10),'Tabla general'!$L$4,IF(AND($C10=$D10,W10=X10),'Tabla general'!$L$4,0))) + IF(AND($C10=W10,$D10=X10),'Tabla general'!$L$5,0))</f>
        <v>0</v>
      </c>
      <c r="Z10" s="38"/>
      <c r="AA10" s="38"/>
      <c r="AB10" s="32">
        <f>IF(AND($C10="",$D10=""),0,IF(AND($C10&gt;$D10,Z10&gt;AA10),'Tabla general'!$L$4,IF(AND($D10&gt;$C10,AA10&gt;Z10),'Tabla general'!$L$4,IF(AND($C10=$D10,Z10=AA10),'Tabla general'!$L$4,0))) + IF(AND($C10=Z10,$D10=AA10),'Tabla general'!$L$5,0))</f>
        <v>0</v>
      </c>
      <c r="AC10" s="38"/>
      <c r="AD10" s="38"/>
      <c r="AE10" s="33">
        <f>IF(AND($C10="",$D10=""),0,IF(AND($C10&gt;$D10,AC10&gt;AD10),'Tabla general'!$L$4,IF(AND($D10&gt;$C10,AD10&gt;AC10),'Tabla general'!$L$4,IF(AND($C10=$D10,AC10=AD10),'Tabla general'!$L$4,0))) + IF(AND($C10=AC10,$D10=AD10),'Tabla general'!$L$5,0))</f>
        <v>0</v>
      </c>
      <c r="AF10" s="38"/>
      <c r="AG10" s="38"/>
      <c r="AH10" s="34">
        <f>IF(AND($C10="",$D10=""),0,IF(AND($C10&gt;$D10,AF10&gt;AG10),'Tabla general'!$L$4,IF(AND($D10&gt;$C10,AG10&gt;AF10),'Tabla general'!$L$4,IF(AND($C10=$D10,AF10=AG10),'Tabla general'!$L$4,0))) + IF(AND($C10=AF10,$D10=AG10),'Tabla general'!$L$5,0))</f>
        <v>0</v>
      </c>
      <c r="AI10" s="38"/>
      <c r="AJ10" s="38"/>
      <c r="AK10" s="35">
        <f>IF(AND($C10="",$D10=""),0,IF(AND($C10&gt;$D10,AI10&gt;AJ10),'Tabla general'!$L$4,IF(AND($D10&gt;$C10,AJ10&gt;AI10),'Tabla general'!$L$4,IF(AND($C10=$D10,AI10=AJ10),'Tabla general'!$L$4,0))) + IF(AND($C10=AI10,$D10=AJ10),'Tabla general'!$L$5,0))</f>
        <v>0</v>
      </c>
      <c r="AL10" s="38"/>
      <c r="AM10" s="38"/>
      <c r="AN10" s="36">
        <f>IF(AND($C10="",$D10=""),0,IF(AND($C10&gt;$D10,AL10&gt;AM10),'Tabla general'!$L$4,IF(AND($D10&gt;$C10,AM10&gt;AL10),'Tabla general'!$L$4,IF(AND($C10=$D10,AL10=AM10),'Tabla general'!$L$4,0))) + IF(AND($C10=AL10,$D10=AM10),'Tabla general'!$L$5,0))</f>
        <v>0</v>
      </c>
      <c r="AO10" s="38"/>
      <c r="AP10" s="38"/>
      <c r="AQ10" s="37">
        <f>IF(AND($C10="",$D10=""),0,IF(AND($C10&gt;$D10,AO10&gt;AP10),'Tabla general'!$L$4,IF(AND($D10&gt;$C10,AP10&gt;AO10),'Tabla general'!$L$4,IF(AND($C10=$D10,AO10=AP10),'Tabla general'!$L$4,0))) + IF(AND($C10=AO10,$D10=AP10),'Tabla general'!$L$5,0))</f>
        <v>0</v>
      </c>
      <c r="AR10" s="38"/>
      <c r="AS10" s="38"/>
      <c r="AT10" s="34">
        <f>IF(AND($C10="",$D10=""),0,IF(AND($C10&gt;$D10,AR10&gt;AS10),'Tabla general'!$L$4,IF(AND($D10&gt;$C10,AS10&gt;AR10),'Tabla general'!$L$4,IF(AND($C10=$D10,AR10=AS10),'Tabla general'!$L$4,0))) + IF(AND($C10=AR10,$D10=AS10),'Tabla general'!$L$5,0))</f>
        <v>0</v>
      </c>
      <c r="AU10" s="38"/>
      <c r="AV10" s="38"/>
      <c r="AW10" s="35">
        <f>IF(AND($C10="",$D10=""),0,IF(AND($C10&gt;$D10,AU10&gt;AV10),'Tabla general'!$L$4,IF(AND($D10&gt;$C10,AV10&gt;AU10),'Tabla general'!$L$4,IF(AND($C10=$D10,AU10=AV10),'Tabla general'!$L$4,0))) + IF(AND($C10=AU10,$D10=AV10),'Tabla general'!$L$5,0))</f>
        <v>0</v>
      </c>
      <c r="AX10" s="48"/>
      <c r="AY10" s="46"/>
      <c r="AZ10" s="35">
        <f>IF(AND($C10="",$D10=""),0,IF(AND($C10&gt;$D10,AX10&gt;AY10),'Tabla general'!$L$4,IF(AND($D10&gt;$C10,AY10&gt;AX10),'Tabla general'!$L$4,IF(AND($C10=$D10,AX10=AY10),'Tabla general'!$L$4,0))) + IF(AND($C10=AX10,$D10=AY10),'Tabla general'!$L$5,0))</f>
        <v>0</v>
      </c>
    </row>
    <row r="11" spans="1:52">
      <c r="A11" s="2" t="s">
        <v>89</v>
      </c>
      <c r="B11" s="2" t="s">
        <v>93</v>
      </c>
      <c r="C11" s="49"/>
      <c r="D11" s="50"/>
      <c r="E11" s="38"/>
      <c r="F11" s="38"/>
      <c r="G11" s="39">
        <f>IF(AND($C11="",$D11=""),0,IF(AND($C11&gt;$D11,E11&gt;F11),'Tabla general'!$L$4,IF(AND($D11&gt;$C11,F11&gt;E11),'Tabla general'!$L$4,IF(AND($C11=$D11,E11=F11),'Tabla general'!$L$4,0))) + IF(AND($C11=E11,$D11=F11),'Tabla general'!$L$5,0))</f>
        <v>0</v>
      </c>
      <c r="H11" s="38"/>
      <c r="I11" s="38"/>
      <c r="J11" s="26">
        <f>IF(AND($C11="",$D11=""),0,IF(AND($C11&gt;$D11,H11&gt;I11),'Tabla general'!$L$4,IF(AND($D11&gt;$C11,I11&gt;H11),'Tabla general'!$L$4,IF(AND($C11=$D11,H11=I11),'Tabla general'!$L$4,0))) + IF(AND($C11=H11,$D11=I11),'Tabla general'!$L$5,0))</f>
        <v>0</v>
      </c>
      <c r="K11" s="38"/>
      <c r="L11" s="38"/>
      <c r="M11" s="27">
        <f>IF(AND($C11="",$D11=""),0,IF(AND($C11&gt;$D11,K11&gt;L11),'Tabla general'!$L$4,IF(AND($D11&gt;$C11,L11&gt;K11),'Tabla general'!$L$4,IF(AND($C11=$D11,K11=L11),'Tabla general'!$L$4,0))) + IF(AND($C11=K11,$D11=L11),'Tabla general'!$L$5,0))</f>
        <v>0</v>
      </c>
      <c r="N11" s="38"/>
      <c r="O11" s="38"/>
      <c r="P11" s="28">
        <f>IF(AND($C11="",$D11=""),0,IF(AND($C11&gt;$D11,N11&gt;O11),'Tabla general'!$L$4,IF(AND($D11&gt;$C11,O11&gt;N11),'Tabla general'!$L$4,IF(AND($C11=$D11,N11=O11),'Tabla general'!$L$4,0))) + IF(AND($C11=N11,$D11=O11),'Tabla general'!$L$5,0))</f>
        <v>0</v>
      </c>
      <c r="Q11" s="38"/>
      <c r="R11" s="38"/>
      <c r="S11" s="29">
        <f>IF(AND($C11="",$D11=""),0,IF(AND($C11&gt;$D11,Q11&gt;R11),'Tabla general'!$L$4,IF(AND($D11&gt;$C11,R11&gt;Q11),'Tabla general'!$L$4,IF(AND($C11=$D11,Q11=R11),'Tabla general'!$L$4,0))) + IF(AND($C11=Q11,$D11=R11),'Tabla general'!$L$5,0))</f>
        <v>0</v>
      </c>
      <c r="T11" s="38"/>
      <c r="U11" s="38"/>
      <c r="V11" s="30">
        <f>IF(AND($C11="",$D11=""),0,IF(AND($C11&gt;$D11,T11&gt;U11),'Tabla general'!$L$4,IF(AND($D11&gt;$C11,U11&gt;T11),'Tabla general'!$L$4,IF(AND($C11=$D11,T11=U11),'Tabla general'!$L$4,0))) + IF(AND($C11=T11,$D11=U11),'Tabla general'!$L$5,0))</f>
        <v>0</v>
      </c>
      <c r="W11" s="38"/>
      <c r="X11" s="38"/>
      <c r="Y11" s="31">
        <f>IF(AND($C11="",$D11=""),0,IF(AND($C11&gt;$D11,W11&gt;X11),'Tabla general'!$L$4,IF(AND($D11&gt;$C11,X11&gt;W11),'Tabla general'!$L$4,IF(AND($C11=$D11,W11=X11),'Tabla general'!$L$4,0))) + IF(AND($C11=W11,$D11=X11),'Tabla general'!$L$5,0))</f>
        <v>0</v>
      </c>
      <c r="Z11" s="38"/>
      <c r="AA11" s="38"/>
      <c r="AB11" s="32">
        <f>IF(AND($C11="",$D11=""),0,IF(AND($C11&gt;$D11,Z11&gt;AA11),'Tabla general'!$L$4,IF(AND($D11&gt;$C11,AA11&gt;Z11),'Tabla general'!$L$4,IF(AND($C11=$D11,Z11=AA11),'Tabla general'!$L$4,0))) + IF(AND($C11=Z11,$D11=AA11),'Tabla general'!$L$5,0))</f>
        <v>0</v>
      </c>
      <c r="AC11" s="38"/>
      <c r="AD11" s="38"/>
      <c r="AE11" s="33">
        <f>IF(AND($C11="",$D11=""),0,IF(AND($C11&gt;$D11,AC11&gt;AD11),'Tabla general'!$L$4,IF(AND($D11&gt;$C11,AD11&gt;AC11),'Tabla general'!$L$4,IF(AND($C11=$D11,AC11=AD11),'Tabla general'!$L$4,0))) + IF(AND($C11=AC11,$D11=AD11),'Tabla general'!$L$5,0))</f>
        <v>0</v>
      </c>
      <c r="AF11" s="38"/>
      <c r="AG11" s="38"/>
      <c r="AH11" s="34">
        <f>IF(AND($C11="",$D11=""),0,IF(AND($C11&gt;$D11,AF11&gt;AG11),'Tabla general'!$L$4,IF(AND($D11&gt;$C11,AG11&gt;AF11),'Tabla general'!$L$4,IF(AND($C11=$D11,AF11=AG11),'Tabla general'!$L$4,0))) + IF(AND($C11=AF11,$D11=AG11),'Tabla general'!$L$5,0))</f>
        <v>0</v>
      </c>
      <c r="AI11" s="38"/>
      <c r="AJ11" s="38"/>
      <c r="AK11" s="35">
        <f>IF(AND($C11="",$D11=""),0,IF(AND($C11&gt;$D11,AI11&gt;AJ11),'Tabla general'!$L$4,IF(AND($D11&gt;$C11,AJ11&gt;AI11),'Tabla general'!$L$4,IF(AND($C11=$D11,AI11=AJ11),'Tabla general'!$L$4,0))) + IF(AND($C11=AI11,$D11=AJ11),'Tabla general'!$L$5,0))</f>
        <v>0</v>
      </c>
      <c r="AL11" s="38"/>
      <c r="AM11" s="38"/>
      <c r="AN11" s="36">
        <f>IF(AND($C11="",$D11=""),0,IF(AND($C11&gt;$D11,AL11&gt;AM11),'Tabla general'!$L$4,IF(AND($D11&gt;$C11,AM11&gt;AL11),'Tabla general'!$L$4,IF(AND($C11=$D11,AL11=AM11),'Tabla general'!$L$4,0))) + IF(AND($C11=AL11,$D11=AM11),'Tabla general'!$L$5,0))</f>
        <v>0</v>
      </c>
      <c r="AO11" s="38"/>
      <c r="AP11" s="38"/>
      <c r="AQ11" s="37">
        <f>IF(AND($C11="",$D11=""),0,IF(AND($C11&gt;$D11,AO11&gt;AP11),'Tabla general'!$L$4,IF(AND($D11&gt;$C11,AP11&gt;AO11),'Tabla general'!$L$4,IF(AND($C11=$D11,AO11=AP11),'Tabla general'!$L$4,0))) + IF(AND($C11=AO11,$D11=AP11),'Tabla general'!$L$5,0))</f>
        <v>0</v>
      </c>
      <c r="AR11" s="38"/>
      <c r="AS11" s="38"/>
      <c r="AT11" s="34">
        <f>IF(AND($C11="",$D11=""),0,IF(AND($C11&gt;$D11,AR11&gt;AS11),'Tabla general'!$L$4,IF(AND($D11&gt;$C11,AS11&gt;AR11),'Tabla general'!$L$4,IF(AND($C11=$D11,AR11=AS11),'Tabla general'!$L$4,0))) + IF(AND($C11=AR11,$D11=AS11),'Tabla general'!$L$5,0))</f>
        <v>0</v>
      </c>
      <c r="AU11" s="38"/>
      <c r="AV11" s="38"/>
      <c r="AW11" s="35">
        <f>IF(AND($C11="",$D11=""),0,IF(AND($C11&gt;$D11,AU11&gt;AV11),'Tabla general'!$L$4,IF(AND($D11&gt;$C11,AV11&gt;AU11),'Tabla general'!$L$4,IF(AND($C11=$D11,AU11=AV11),'Tabla general'!$L$4,0))) + IF(AND($C11=AU11,$D11=AV11),'Tabla general'!$L$5,0))</f>
        <v>0</v>
      </c>
      <c r="AX11" s="48"/>
      <c r="AY11" s="46"/>
      <c r="AZ11" s="35">
        <f>IF(AND($C11="",$D11=""),0,IF(AND($C11&gt;$D11,AX11&gt;AY11),'Tabla general'!$L$4,IF(AND($D11&gt;$C11,AY11&gt;AX11),'Tabla general'!$L$4,IF(AND($C11=$D11,AX11=AY11),'Tabla general'!$L$4,0))) + IF(AND($C11=AX11,$D11=AY11),'Tabla general'!$L$5,0))</f>
        <v>0</v>
      </c>
    </row>
    <row r="12" spans="1:52">
      <c r="A12" s="2" t="s">
        <v>98</v>
      </c>
      <c r="B12" s="2" t="s">
        <v>96</v>
      </c>
      <c r="C12" s="49"/>
      <c r="D12" s="50"/>
      <c r="E12" s="38"/>
      <c r="F12" s="38"/>
      <c r="G12" s="39">
        <f>IF(AND($C12="",$D12=""),0,IF(AND($C12&gt;$D12,E12&gt;F12),'Tabla general'!$L$4,IF(AND($D12&gt;$C12,F12&gt;E12),'Tabla general'!$L$4,IF(AND($C12=$D12,E12=F12),'Tabla general'!$L$4,0))) + IF(AND($C12=E12,$D12=F12),'Tabla general'!$L$5,0))</f>
        <v>0</v>
      </c>
      <c r="H12" s="38"/>
      <c r="I12" s="38"/>
      <c r="J12" s="26">
        <f>IF(AND($C12="",$D12=""),0,IF(AND($C12&gt;$D12,H12&gt;I12),'Tabla general'!$L$4,IF(AND($D12&gt;$C12,I12&gt;H12),'Tabla general'!$L$4,IF(AND($C12=$D12,H12=I12),'Tabla general'!$L$4,0))) + IF(AND($C12=H12,$D12=I12),'Tabla general'!$L$5,0))</f>
        <v>0</v>
      </c>
      <c r="K12" s="38"/>
      <c r="L12" s="38"/>
      <c r="M12" s="27">
        <f>IF(AND($C12="",$D12=""),0,IF(AND($C12&gt;$D12,K12&gt;L12),'Tabla general'!$L$4,IF(AND($D12&gt;$C12,L12&gt;K12),'Tabla general'!$L$4,IF(AND($C12=$D12,K12=L12),'Tabla general'!$L$4,0))) + IF(AND($C12=K12,$D12=L12),'Tabla general'!$L$5,0))</f>
        <v>0</v>
      </c>
      <c r="N12" s="38"/>
      <c r="O12" s="38"/>
      <c r="P12" s="28">
        <f>IF(AND($C12="",$D12=""),0,IF(AND($C12&gt;$D12,N12&gt;O12),'Tabla general'!$L$4,IF(AND($D12&gt;$C12,O12&gt;N12),'Tabla general'!$L$4,IF(AND($C12=$D12,N12=O12),'Tabla general'!$L$4,0))) + IF(AND($C12=N12,$D12=O12),'Tabla general'!$L$5,0))</f>
        <v>0</v>
      </c>
      <c r="Q12" s="38"/>
      <c r="R12" s="38"/>
      <c r="S12" s="29">
        <f>IF(AND($C12="",$D12=""),0,IF(AND($C12&gt;$D12,Q12&gt;R12),'Tabla general'!$L$4,IF(AND($D12&gt;$C12,R12&gt;Q12),'Tabla general'!$L$4,IF(AND($C12=$D12,Q12=R12),'Tabla general'!$L$4,0))) + IF(AND($C12=Q12,$D12=R12),'Tabla general'!$L$5,0))</f>
        <v>0</v>
      </c>
      <c r="T12" s="38"/>
      <c r="U12" s="38"/>
      <c r="V12" s="30">
        <f>IF(AND($C12="",$D12=""),0,IF(AND($C12&gt;$D12,T12&gt;U12),'Tabla general'!$L$4,IF(AND($D12&gt;$C12,U12&gt;T12),'Tabla general'!$L$4,IF(AND($C12=$D12,T12=U12),'Tabla general'!$L$4,0))) + IF(AND($C12=T12,$D12=U12),'Tabla general'!$L$5,0))</f>
        <v>0</v>
      </c>
      <c r="W12" s="38"/>
      <c r="X12" s="38"/>
      <c r="Y12" s="31">
        <f>IF(AND($C12="",$D12=""),0,IF(AND($C12&gt;$D12,W12&gt;X12),'Tabla general'!$L$4,IF(AND($D12&gt;$C12,X12&gt;W12),'Tabla general'!$L$4,IF(AND($C12=$D12,W12=X12),'Tabla general'!$L$4,0))) + IF(AND($C12=W12,$D12=X12),'Tabla general'!$L$5,0))</f>
        <v>0</v>
      </c>
      <c r="Z12" s="38"/>
      <c r="AA12" s="38"/>
      <c r="AB12" s="32">
        <f>IF(AND($C12="",$D12=""),0,IF(AND($C12&gt;$D12,Z12&gt;AA12),'Tabla general'!$L$4,IF(AND($D12&gt;$C12,AA12&gt;Z12),'Tabla general'!$L$4,IF(AND($C12=$D12,Z12=AA12),'Tabla general'!$L$4,0))) + IF(AND($C12=Z12,$D12=AA12),'Tabla general'!$L$5,0))</f>
        <v>0</v>
      </c>
      <c r="AC12" s="38"/>
      <c r="AD12" s="38"/>
      <c r="AE12" s="33">
        <f>IF(AND($C12="",$D12=""),0,IF(AND($C12&gt;$D12,AC12&gt;AD12),'Tabla general'!$L$4,IF(AND($D12&gt;$C12,AD12&gt;AC12),'Tabla general'!$L$4,IF(AND($C12=$D12,AC12=AD12),'Tabla general'!$L$4,0))) + IF(AND($C12=AC12,$D12=AD12),'Tabla general'!$L$5,0))</f>
        <v>0</v>
      </c>
      <c r="AF12" s="38"/>
      <c r="AG12" s="38"/>
      <c r="AH12" s="34">
        <f>IF(AND($C12="",$D12=""),0,IF(AND($C12&gt;$D12,AF12&gt;AG12),'Tabla general'!$L$4,IF(AND($D12&gt;$C12,AG12&gt;AF12),'Tabla general'!$L$4,IF(AND($C12=$D12,AF12=AG12),'Tabla general'!$L$4,0))) + IF(AND($C12=AF12,$D12=AG12),'Tabla general'!$L$5,0))</f>
        <v>0</v>
      </c>
      <c r="AI12" s="38"/>
      <c r="AJ12" s="38"/>
      <c r="AK12" s="35">
        <f>IF(AND($C12="",$D12=""),0,IF(AND($C12&gt;$D12,AI12&gt;AJ12),'Tabla general'!$L$4,IF(AND($D12&gt;$C12,AJ12&gt;AI12),'Tabla general'!$L$4,IF(AND($C12=$D12,AI12=AJ12),'Tabla general'!$L$4,0))) + IF(AND($C12=AI12,$D12=AJ12),'Tabla general'!$L$5,0))</f>
        <v>0</v>
      </c>
      <c r="AL12" s="38"/>
      <c r="AM12" s="38"/>
      <c r="AN12" s="36">
        <f>IF(AND($C12="",$D12=""),0,IF(AND($C12&gt;$D12,AL12&gt;AM12),'Tabla general'!$L$4,IF(AND($D12&gt;$C12,AM12&gt;AL12),'Tabla general'!$L$4,IF(AND($C12=$D12,AL12=AM12),'Tabla general'!$L$4,0))) + IF(AND($C12=AL12,$D12=AM12),'Tabla general'!$L$5,0))</f>
        <v>0</v>
      </c>
      <c r="AO12" s="38"/>
      <c r="AP12" s="38"/>
      <c r="AQ12" s="37">
        <f>IF(AND($C12="",$D12=""),0,IF(AND($C12&gt;$D12,AO12&gt;AP12),'Tabla general'!$L$4,IF(AND($D12&gt;$C12,AP12&gt;AO12),'Tabla general'!$L$4,IF(AND($C12=$D12,AO12=AP12),'Tabla general'!$L$4,0))) + IF(AND($C12=AO12,$D12=AP12),'Tabla general'!$L$5,0))</f>
        <v>0</v>
      </c>
      <c r="AR12" s="38"/>
      <c r="AS12" s="38"/>
      <c r="AT12" s="34">
        <f>IF(AND($C12="",$D12=""),0,IF(AND($C12&gt;$D12,AR12&gt;AS12),'Tabla general'!$L$4,IF(AND($D12&gt;$C12,AS12&gt;AR12),'Tabla general'!$L$4,IF(AND($C12=$D12,AR12=AS12),'Tabla general'!$L$4,0))) + IF(AND($C12=AR12,$D12=AS12),'Tabla general'!$L$5,0))</f>
        <v>0</v>
      </c>
      <c r="AU12" s="38"/>
      <c r="AV12" s="38"/>
      <c r="AW12" s="35">
        <f>IF(AND($C12="",$D12=""),0,IF(AND($C12&gt;$D12,AU12&gt;AV12),'Tabla general'!$L$4,IF(AND($D12&gt;$C12,AV12&gt;AU12),'Tabla general'!$L$4,IF(AND($C12=$D12,AU12=AV12),'Tabla general'!$L$4,0))) + IF(AND($C12=AU12,$D12=AV12),'Tabla general'!$L$5,0))</f>
        <v>0</v>
      </c>
      <c r="AX12" s="48"/>
      <c r="AY12" s="46"/>
      <c r="AZ12" s="35">
        <f>IF(AND($C12="",$D12=""),0,IF(AND($C12&gt;$D12,AX12&gt;AY12),'Tabla general'!$L$4,IF(AND($D12&gt;$C12,AY12&gt;AX12),'Tabla general'!$L$4,IF(AND($C12=$D12,AX12=AY12),'Tabla general'!$L$4,0))) + IF(AND($C12=AX12,$D12=AY12),'Tabla general'!$L$5,0))</f>
        <v>0</v>
      </c>
    </row>
    <row r="13" spans="1:52">
      <c r="A13" s="2" t="s">
        <v>100</v>
      </c>
      <c r="B13" s="2" t="s">
        <v>102</v>
      </c>
      <c r="C13" s="49"/>
      <c r="D13" s="50"/>
      <c r="E13" s="38"/>
      <c r="F13" s="38"/>
      <c r="G13" s="39">
        <f>IF(AND($C13="",$D13=""),0,IF(AND($C13&gt;$D13,E13&gt;F13),'Tabla general'!$L$4,IF(AND($D13&gt;$C13,F13&gt;E13),'Tabla general'!$L$4,IF(AND($C13=$D13,E13=F13),'Tabla general'!$L$4,0))) + IF(AND($C13=E13,$D13=F13),'Tabla general'!$L$5,0))</f>
        <v>0</v>
      </c>
      <c r="H13" s="38"/>
      <c r="I13" s="38"/>
      <c r="J13" s="26">
        <f>IF(AND($C13="",$D13=""),0,IF(AND($C13&gt;$D13,H13&gt;I13),'Tabla general'!$L$4,IF(AND($D13&gt;$C13,I13&gt;H13),'Tabla general'!$L$4,IF(AND($C13=$D13,H13=I13),'Tabla general'!$L$4,0))) + IF(AND($C13=H13,$D13=I13),'Tabla general'!$L$5,0))</f>
        <v>0</v>
      </c>
      <c r="K13" s="38"/>
      <c r="L13" s="38"/>
      <c r="M13" s="27">
        <f>IF(AND($C13="",$D13=""),0,IF(AND($C13&gt;$D13,K13&gt;L13),'Tabla general'!$L$4,IF(AND($D13&gt;$C13,L13&gt;K13),'Tabla general'!$L$4,IF(AND($C13=$D13,K13=L13),'Tabla general'!$L$4,0))) + IF(AND($C13=K13,$D13=L13),'Tabla general'!$L$5,0))</f>
        <v>0</v>
      </c>
      <c r="N13" s="38"/>
      <c r="O13" s="38"/>
      <c r="P13" s="28">
        <f>IF(AND($C13="",$D13=""),0,IF(AND($C13&gt;$D13,N13&gt;O13),'Tabla general'!$L$4,IF(AND($D13&gt;$C13,O13&gt;N13),'Tabla general'!$L$4,IF(AND($C13=$D13,N13=O13),'Tabla general'!$L$4,0))) + IF(AND($C13=N13,$D13=O13),'Tabla general'!$L$5,0))</f>
        <v>0</v>
      </c>
      <c r="Q13" s="38"/>
      <c r="R13" s="38"/>
      <c r="S13" s="29">
        <f>IF(AND($C13="",$D13=""),0,IF(AND($C13&gt;$D13,Q13&gt;R13),'Tabla general'!$L$4,IF(AND($D13&gt;$C13,R13&gt;Q13),'Tabla general'!$L$4,IF(AND($C13=$D13,Q13=R13),'Tabla general'!$L$4,0))) + IF(AND($C13=Q13,$D13=R13),'Tabla general'!$L$5,0))</f>
        <v>0</v>
      </c>
      <c r="T13" s="38"/>
      <c r="U13" s="38"/>
      <c r="V13" s="30">
        <f>IF(AND($C13="",$D13=""),0,IF(AND($C13&gt;$D13,T13&gt;U13),'Tabla general'!$L$4,IF(AND($D13&gt;$C13,U13&gt;T13),'Tabla general'!$L$4,IF(AND($C13=$D13,T13=U13),'Tabla general'!$L$4,0))) + IF(AND($C13=T13,$D13=U13),'Tabla general'!$L$5,0))</f>
        <v>0</v>
      </c>
      <c r="W13" s="38"/>
      <c r="X13" s="38"/>
      <c r="Y13" s="31">
        <f>IF(AND($C13="",$D13=""),0,IF(AND($C13&gt;$D13,W13&gt;X13),'Tabla general'!$L$4,IF(AND($D13&gt;$C13,X13&gt;W13),'Tabla general'!$L$4,IF(AND($C13=$D13,W13=X13),'Tabla general'!$L$4,0))) + IF(AND($C13=W13,$D13=X13),'Tabla general'!$L$5,0))</f>
        <v>0</v>
      </c>
      <c r="Z13" s="38"/>
      <c r="AA13" s="38"/>
      <c r="AB13" s="32">
        <f>IF(AND($C13="",$D13=""),0,IF(AND($C13&gt;$D13,Z13&gt;AA13),'Tabla general'!$L$4,IF(AND($D13&gt;$C13,AA13&gt;Z13),'Tabla general'!$L$4,IF(AND($C13=$D13,Z13=AA13),'Tabla general'!$L$4,0))) + IF(AND($C13=Z13,$D13=AA13),'Tabla general'!$L$5,0))</f>
        <v>0</v>
      </c>
      <c r="AC13" s="38"/>
      <c r="AD13" s="38"/>
      <c r="AE13" s="33">
        <f>IF(AND($C13="",$D13=""),0,IF(AND($C13&gt;$D13,AC13&gt;AD13),'Tabla general'!$L$4,IF(AND($D13&gt;$C13,AD13&gt;AC13),'Tabla general'!$L$4,IF(AND($C13=$D13,AC13=AD13),'Tabla general'!$L$4,0))) + IF(AND($C13=AC13,$D13=AD13),'Tabla general'!$L$5,0))</f>
        <v>0</v>
      </c>
      <c r="AF13" s="38"/>
      <c r="AG13" s="38"/>
      <c r="AH13" s="34">
        <f>IF(AND($C13="",$D13=""),0,IF(AND($C13&gt;$D13,AF13&gt;AG13),'Tabla general'!$L$4,IF(AND($D13&gt;$C13,AG13&gt;AF13),'Tabla general'!$L$4,IF(AND($C13=$D13,AF13=AG13),'Tabla general'!$L$4,0))) + IF(AND($C13=AF13,$D13=AG13),'Tabla general'!$L$5,0))</f>
        <v>0</v>
      </c>
      <c r="AI13" s="38"/>
      <c r="AJ13" s="38"/>
      <c r="AK13" s="35">
        <f>IF(AND($C13="",$D13=""),0,IF(AND($C13&gt;$D13,AI13&gt;AJ13),'Tabla general'!$L$4,IF(AND($D13&gt;$C13,AJ13&gt;AI13),'Tabla general'!$L$4,IF(AND($C13=$D13,AI13=AJ13),'Tabla general'!$L$4,0))) + IF(AND($C13=AI13,$D13=AJ13),'Tabla general'!$L$5,0))</f>
        <v>0</v>
      </c>
      <c r="AL13" s="38"/>
      <c r="AM13" s="38"/>
      <c r="AN13" s="36">
        <f>IF(AND($C13="",$D13=""),0,IF(AND($C13&gt;$D13,AL13&gt;AM13),'Tabla general'!$L$4,IF(AND($D13&gt;$C13,AM13&gt;AL13),'Tabla general'!$L$4,IF(AND($C13=$D13,AL13=AM13),'Tabla general'!$L$4,0))) + IF(AND($C13=AL13,$D13=AM13),'Tabla general'!$L$5,0))</f>
        <v>0</v>
      </c>
      <c r="AO13" s="38"/>
      <c r="AP13" s="38"/>
      <c r="AQ13" s="37">
        <f>IF(AND($C13="",$D13=""),0,IF(AND($C13&gt;$D13,AO13&gt;AP13),'Tabla general'!$L$4,IF(AND($D13&gt;$C13,AP13&gt;AO13),'Tabla general'!$L$4,IF(AND($C13=$D13,AO13=AP13),'Tabla general'!$L$4,0))) + IF(AND($C13=AO13,$D13=AP13),'Tabla general'!$L$5,0))</f>
        <v>0</v>
      </c>
      <c r="AR13" s="38"/>
      <c r="AS13" s="38"/>
      <c r="AT13" s="34">
        <f>IF(AND($C13="",$D13=""),0,IF(AND($C13&gt;$D13,AR13&gt;AS13),'Tabla general'!$L$4,IF(AND($D13&gt;$C13,AS13&gt;AR13),'Tabla general'!$L$4,IF(AND($C13=$D13,AR13=AS13),'Tabla general'!$L$4,0))) + IF(AND($C13=AR13,$D13=AS13),'Tabla general'!$L$5,0))</f>
        <v>0</v>
      </c>
      <c r="AU13" s="38"/>
      <c r="AV13" s="38"/>
      <c r="AW13" s="35">
        <f>IF(AND($C13="",$D13=""),0,IF(AND($C13&gt;$D13,AU13&gt;AV13),'Tabla general'!$L$4,IF(AND($D13&gt;$C13,AV13&gt;AU13),'Tabla general'!$L$4,IF(AND($C13=$D13,AU13=AV13),'Tabla general'!$L$4,0))) + IF(AND($C13=AU13,$D13=AV13),'Tabla general'!$L$5,0))</f>
        <v>0</v>
      </c>
      <c r="AX13" s="48"/>
      <c r="AY13" s="46"/>
      <c r="AZ13" s="35">
        <f>IF(AND($C13="",$D13=""),0,IF(AND($C13&gt;$D13,AX13&gt;AY13),'Tabla general'!$L$4,IF(AND($D13&gt;$C13,AY13&gt;AX13),'Tabla general'!$L$4,IF(AND($C13=$D13,AX13=AY13),'Tabla general'!$L$4,0))) + IF(AND($C13=AX13,$D13=AY13),'Tabla general'!$L$5,0))</f>
        <v>0</v>
      </c>
    </row>
    <row r="14" spans="1:52">
      <c r="A14" s="2" t="s">
        <v>101</v>
      </c>
      <c r="B14" s="2" t="s">
        <v>99</v>
      </c>
      <c r="C14" s="49"/>
      <c r="D14" s="50"/>
      <c r="E14" s="38"/>
      <c r="F14" s="38"/>
      <c r="G14" s="39">
        <f>IF(AND($C14="",$D14=""),0,IF(AND($C14&gt;$D14,E14&gt;F14),'Tabla general'!$L$4,IF(AND($D14&gt;$C14,F14&gt;E14),'Tabla general'!$L$4,IF(AND($C14=$D14,E14=F14),'Tabla general'!$L$4,0))) + IF(AND($C14=E14,$D14=F14),'Tabla general'!$L$5,0))</f>
        <v>0</v>
      </c>
      <c r="H14" s="38"/>
      <c r="I14" s="38"/>
      <c r="J14" s="26">
        <f>IF(AND($C14="",$D14=""),0,IF(AND($C14&gt;$D14,H14&gt;I14),'Tabla general'!$L$4,IF(AND($D14&gt;$C14,I14&gt;H14),'Tabla general'!$L$4,IF(AND($C14=$D14,H14=I14),'Tabla general'!$L$4,0))) + IF(AND($C14=H14,$D14=I14),'Tabla general'!$L$5,0))</f>
        <v>0</v>
      </c>
      <c r="K14" s="38"/>
      <c r="L14" s="38"/>
      <c r="M14" s="27">
        <f>IF(AND($C14="",$D14=""),0,IF(AND($C14&gt;$D14,K14&gt;L14),'Tabla general'!$L$4,IF(AND($D14&gt;$C14,L14&gt;K14),'Tabla general'!$L$4,IF(AND($C14=$D14,K14=L14),'Tabla general'!$L$4,0))) + IF(AND($C14=K14,$D14=L14),'Tabla general'!$L$5,0))</f>
        <v>0</v>
      </c>
      <c r="N14" s="38"/>
      <c r="O14" s="38"/>
      <c r="P14" s="28">
        <f>IF(AND($C14="",$D14=""),0,IF(AND($C14&gt;$D14,N14&gt;O14),'Tabla general'!$L$4,IF(AND($D14&gt;$C14,O14&gt;N14),'Tabla general'!$L$4,IF(AND($C14=$D14,N14=O14),'Tabla general'!$L$4,0))) + IF(AND($C14=N14,$D14=O14),'Tabla general'!$L$5,0))</f>
        <v>0</v>
      </c>
      <c r="Q14" s="38"/>
      <c r="R14" s="38"/>
      <c r="S14" s="29">
        <f>IF(AND($C14="",$D14=""),0,IF(AND($C14&gt;$D14,Q14&gt;R14),'Tabla general'!$L$4,IF(AND($D14&gt;$C14,R14&gt;Q14),'Tabla general'!$L$4,IF(AND($C14=$D14,Q14=R14),'Tabla general'!$L$4,0))) + IF(AND($C14=Q14,$D14=R14),'Tabla general'!$L$5,0))</f>
        <v>0</v>
      </c>
      <c r="T14" s="38"/>
      <c r="U14" s="38"/>
      <c r="V14" s="30">
        <f>IF(AND($C14="",$D14=""),0,IF(AND($C14&gt;$D14,T14&gt;U14),'Tabla general'!$L$4,IF(AND($D14&gt;$C14,U14&gt;T14),'Tabla general'!$L$4,IF(AND($C14=$D14,T14=U14),'Tabla general'!$L$4,0))) + IF(AND($C14=T14,$D14=U14),'Tabla general'!$L$5,0))</f>
        <v>0</v>
      </c>
      <c r="W14" s="38"/>
      <c r="X14" s="38"/>
      <c r="Y14" s="31">
        <f>IF(AND($C14="",$D14=""),0,IF(AND($C14&gt;$D14,W14&gt;X14),'Tabla general'!$L$4,IF(AND($D14&gt;$C14,X14&gt;W14),'Tabla general'!$L$4,IF(AND($C14=$D14,W14=X14),'Tabla general'!$L$4,0))) + IF(AND($C14=W14,$D14=X14),'Tabla general'!$L$5,0))</f>
        <v>0</v>
      </c>
      <c r="Z14" s="38"/>
      <c r="AA14" s="38"/>
      <c r="AB14" s="32">
        <f>IF(AND($C14="",$D14=""),0,IF(AND($C14&gt;$D14,Z14&gt;AA14),'Tabla general'!$L$4,IF(AND($D14&gt;$C14,AA14&gt;Z14),'Tabla general'!$L$4,IF(AND($C14=$D14,Z14=AA14),'Tabla general'!$L$4,0))) + IF(AND($C14=Z14,$D14=AA14),'Tabla general'!$L$5,0))</f>
        <v>0</v>
      </c>
      <c r="AC14" s="38"/>
      <c r="AD14" s="38"/>
      <c r="AE14" s="33">
        <f>IF(AND($C14="",$D14=""),0,IF(AND($C14&gt;$D14,AC14&gt;AD14),'Tabla general'!$L$4,IF(AND($D14&gt;$C14,AD14&gt;AC14),'Tabla general'!$L$4,IF(AND($C14=$D14,AC14=AD14),'Tabla general'!$L$4,0))) + IF(AND($C14=AC14,$D14=AD14),'Tabla general'!$L$5,0))</f>
        <v>0</v>
      </c>
      <c r="AF14" s="38"/>
      <c r="AG14" s="38"/>
      <c r="AH14" s="34">
        <f>IF(AND($C14="",$D14=""),0,IF(AND($C14&gt;$D14,AF14&gt;AG14),'Tabla general'!$L$4,IF(AND($D14&gt;$C14,AG14&gt;AF14),'Tabla general'!$L$4,IF(AND($C14=$D14,AF14=AG14),'Tabla general'!$L$4,0))) + IF(AND($C14=AF14,$D14=AG14),'Tabla general'!$L$5,0))</f>
        <v>0</v>
      </c>
      <c r="AI14" s="38"/>
      <c r="AJ14" s="38"/>
      <c r="AK14" s="35">
        <f>IF(AND($C14="",$D14=""),0,IF(AND($C14&gt;$D14,AI14&gt;AJ14),'Tabla general'!$L$4,IF(AND($D14&gt;$C14,AJ14&gt;AI14),'Tabla general'!$L$4,IF(AND($C14=$D14,AI14=AJ14),'Tabla general'!$L$4,0))) + IF(AND($C14=AI14,$D14=AJ14),'Tabla general'!$L$5,0))</f>
        <v>0</v>
      </c>
      <c r="AL14" s="38"/>
      <c r="AM14" s="38"/>
      <c r="AN14" s="36">
        <f>IF(AND($C14="",$D14=""),0,IF(AND($C14&gt;$D14,AL14&gt;AM14),'Tabla general'!$L$4,IF(AND($D14&gt;$C14,AM14&gt;AL14),'Tabla general'!$L$4,IF(AND($C14=$D14,AL14=AM14),'Tabla general'!$L$4,0))) + IF(AND($C14=AL14,$D14=AM14),'Tabla general'!$L$5,0))</f>
        <v>0</v>
      </c>
      <c r="AO14" s="38"/>
      <c r="AP14" s="38"/>
      <c r="AQ14" s="37">
        <f>IF(AND($C14="",$D14=""),0,IF(AND($C14&gt;$D14,AO14&gt;AP14),'Tabla general'!$L$4,IF(AND($D14&gt;$C14,AP14&gt;AO14),'Tabla general'!$L$4,IF(AND($C14=$D14,AO14=AP14),'Tabla general'!$L$4,0))) + IF(AND($C14=AO14,$D14=AP14),'Tabla general'!$L$5,0))</f>
        <v>0</v>
      </c>
      <c r="AR14" s="38"/>
      <c r="AS14" s="38"/>
      <c r="AT14" s="34">
        <f>IF(AND($C14="",$D14=""),0,IF(AND($C14&gt;$D14,AR14&gt;AS14),'Tabla general'!$L$4,IF(AND($D14&gt;$C14,AS14&gt;AR14),'Tabla general'!$L$4,IF(AND($C14=$D14,AR14=AS14),'Tabla general'!$L$4,0))) + IF(AND($C14=AR14,$D14=AS14),'Tabla general'!$L$5,0))</f>
        <v>0</v>
      </c>
      <c r="AU14" s="38"/>
      <c r="AV14" s="38"/>
      <c r="AW14" s="35">
        <f>IF(AND($C14="",$D14=""),0,IF(AND($C14&gt;$D14,AU14&gt;AV14),'Tabla general'!$L$4,IF(AND($D14&gt;$C14,AV14&gt;AU14),'Tabla general'!$L$4,IF(AND($C14=$D14,AU14=AV14),'Tabla general'!$L$4,0))) + IF(AND($C14=AU14,$D14=AV14),'Tabla general'!$L$5,0))</f>
        <v>0</v>
      </c>
      <c r="AX14" s="48"/>
      <c r="AY14" s="46"/>
      <c r="AZ14" s="35">
        <f>IF(AND($C14="",$D14=""),0,IF(AND($C14&gt;$D14,AX14&gt;AY14),'Tabla general'!$L$4,IF(AND($D14&gt;$C14,AY14&gt;AX14),'Tabla general'!$L$4,IF(AND($C14=$D14,AX14=AY14),'Tabla general'!$L$4,0))) + IF(AND($C14=AX14,$D14=AY14),'Tabla general'!$L$5,0))</f>
        <v>0</v>
      </c>
    </row>
    <row r="15" spans="1:52">
      <c r="A15" s="2" t="s">
        <v>74</v>
      </c>
      <c r="B15" s="2" t="s">
        <v>71</v>
      </c>
      <c r="C15" s="49"/>
      <c r="D15" s="50"/>
      <c r="E15" s="38"/>
      <c r="F15" s="38"/>
      <c r="G15" s="39">
        <f>IF(AND($C15="",$D15=""),0,IF(AND($C15&gt;$D15,E15&gt;F15),'Tabla general'!$L$4,IF(AND($D15&gt;$C15,F15&gt;E15),'Tabla general'!$L$4,IF(AND($C15=$D15,E15=F15),'Tabla general'!$L$4,0))) + IF(AND($C15=E15,$D15=F15),'Tabla general'!$L$5,0))</f>
        <v>0</v>
      </c>
      <c r="H15" s="38"/>
      <c r="I15" s="38"/>
      <c r="J15" s="26">
        <f>IF(AND($C15="",$D15=""),0,IF(AND($C15&gt;$D15,H15&gt;I15),'Tabla general'!$L$4,IF(AND($D15&gt;$C15,I15&gt;H15),'Tabla general'!$L$4,IF(AND($C15=$D15,H15=I15),'Tabla general'!$L$4,0))) + IF(AND($C15=H15,$D15=I15),'Tabla general'!$L$5,0))</f>
        <v>0</v>
      </c>
      <c r="K15" s="38"/>
      <c r="L15" s="38"/>
      <c r="M15" s="27">
        <f>IF(AND($C15="",$D15=""),0,IF(AND($C15&gt;$D15,K15&gt;L15),'Tabla general'!$L$4,IF(AND($D15&gt;$C15,L15&gt;K15),'Tabla general'!$L$4,IF(AND($C15=$D15,K15=L15),'Tabla general'!$L$4,0))) + IF(AND($C15=K15,$D15=L15),'Tabla general'!$L$5,0))</f>
        <v>0</v>
      </c>
      <c r="N15" s="38"/>
      <c r="O15" s="38"/>
      <c r="P15" s="28">
        <f>IF(AND($C15="",$D15=""),0,IF(AND($C15&gt;$D15,N15&gt;O15),'Tabla general'!$L$4,IF(AND($D15&gt;$C15,O15&gt;N15),'Tabla general'!$L$4,IF(AND($C15=$D15,N15=O15),'Tabla general'!$L$4,0))) + IF(AND($C15=N15,$D15=O15),'Tabla general'!$L$5,0))</f>
        <v>0</v>
      </c>
      <c r="Q15" s="38"/>
      <c r="R15" s="38"/>
      <c r="S15" s="29">
        <f>IF(AND($C15="",$D15=""),0,IF(AND($C15&gt;$D15,Q15&gt;R15),'Tabla general'!$L$4,IF(AND($D15&gt;$C15,R15&gt;Q15),'Tabla general'!$L$4,IF(AND($C15=$D15,Q15=R15),'Tabla general'!$L$4,0))) + IF(AND($C15=Q15,$D15=R15),'Tabla general'!$L$5,0))</f>
        <v>0</v>
      </c>
      <c r="T15" s="38"/>
      <c r="U15" s="38"/>
      <c r="V15" s="30">
        <f>IF(AND($C15="",$D15=""),0,IF(AND($C15&gt;$D15,T15&gt;U15),'Tabla general'!$L$4,IF(AND($D15&gt;$C15,U15&gt;T15),'Tabla general'!$L$4,IF(AND($C15=$D15,T15=U15),'Tabla general'!$L$4,0))) + IF(AND($C15=T15,$D15=U15),'Tabla general'!$L$5,0))</f>
        <v>0</v>
      </c>
      <c r="W15" s="38"/>
      <c r="X15" s="38"/>
      <c r="Y15" s="31">
        <f>IF(AND($C15="",$D15=""),0,IF(AND($C15&gt;$D15,W15&gt;X15),'Tabla general'!$L$4,IF(AND($D15&gt;$C15,X15&gt;W15),'Tabla general'!$L$4,IF(AND($C15=$D15,W15=X15),'Tabla general'!$L$4,0))) + IF(AND($C15=W15,$D15=X15),'Tabla general'!$L$5,0))</f>
        <v>0</v>
      </c>
      <c r="Z15" s="38"/>
      <c r="AA15" s="38"/>
      <c r="AB15" s="32">
        <f>IF(AND($C15="",$D15=""),0,IF(AND($C15&gt;$D15,Z15&gt;AA15),'Tabla general'!$L$4,IF(AND($D15&gt;$C15,AA15&gt;Z15),'Tabla general'!$L$4,IF(AND($C15=$D15,Z15=AA15),'Tabla general'!$L$4,0))) + IF(AND($C15=Z15,$D15=AA15),'Tabla general'!$L$5,0))</f>
        <v>0</v>
      </c>
      <c r="AC15" s="38"/>
      <c r="AD15" s="38"/>
      <c r="AE15" s="33">
        <f>IF(AND($C15="",$D15=""),0,IF(AND($C15&gt;$D15,AC15&gt;AD15),'Tabla general'!$L$4,IF(AND($D15&gt;$C15,AD15&gt;AC15),'Tabla general'!$L$4,IF(AND($C15=$D15,AC15=AD15),'Tabla general'!$L$4,0))) + IF(AND($C15=AC15,$D15=AD15),'Tabla general'!$L$5,0))</f>
        <v>0</v>
      </c>
      <c r="AF15" s="38"/>
      <c r="AG15" s="38"/>
      <c r="AH15" s="34">
        <f>IF(AND($C15="",$D15=""),0,IF(AND($C15&gt;$D15,AF15&gt;AG15),'Tabla general'!$L$4,IF(AND($D15&gt;$C15,AG15&gt;AF15),'Tabla general'!$L$4,IF(AND($C15=$D15,AF15=AG15),'Tabla general'!$L$4,0))) + IF(AND($C15=AF15,$D15=AG15),'Tabla general'!$L$5,0))</f>
        <v>0</v>
      </c>
      <c r="AI15" s="38"/>
      <c r="AJ15" s="38"/>
      <c r="AK15" s="35">
        <f>IF(AND($C15="",$D15=""),0,IF(AND($C15&gt;$D15,AI15&gt;AJ15),'Tabla general'!$L$4,IF(AND($D15&gt;$C15,AJ15&gt;AI15),'Tabla general'!$L$4,IF(AND($C15=$D15,AI15=AJ15),'Tabla general'!$L$4,0))) + IF(AND($C15=AI15,$D15=AJ15),'Tabla general'!$L$5,0))</f>
        <v>0</v>
      </c>
      <c r="AL15" s="38"/>
      <c r="AM15" s="38"/>
      <c r="AN15" s="36">
        <f>IF(AND($C15="",$D15=""),0,IF(AND($C15&gt;$D15,AL15&gt;AM15),'Tabla general'!$L$4,IF(AND($D15&gt;$C15,AM15&gt;AL15),'Tabla general'!$L$4,IF(AND($C15=$D15,AL15=AM15),'Tabla general'!$L$4,0))) + IF(AND($C15=AL15,$D15=AM15),'Tabla general'!$L$5,0))</f>
        <v>0</v>
      </c>
      <c r="AO15" s="38"/>
      <c r="AP15" s="38"/>
      <c r="AQ15" s="37">
        <f>IF(AND($C15="",$D15=""),0,IF(AND($C15&gt;$D15,AO15&gt;AP15),'Tabla general'!$L$4,IF(AND($D15&gt;$C15,AP15&gt;AO15),'Tabla general'!$L$4,IF(AND($C15=$D15,AO15=AP15),'Tabla general'!$L$4,0))) + IF(AND($C15=AO15,$D15=AP15),'Tabla general'!$L$5,0))</f>
        <v>0</v>
      </c>
      <c r="AR15" s="38"/>
      <c r="AS15" s="38"/>
      <c r="AT15" s="34">
        <f>IF(AND($C15="",$D15=""),0,IF(AND($C15&gt;$D15,AR15&gt;AS15),'Tabla general'!$L$4,IF(AND($D15&gt;$C15,AS15&gt;AR15),'Tabla general'!$L$4,IF(AND($C15=$D15,AR15=AS15),'Tabla general'!$L$4,0))) + IF(AND($C15=AR15,$D15=AS15),'Tabla general'!$L$5,0))</f>
        <v>0</v>
      </c>
      <c r="AU15" s="38"/>
      <c r="AV15" s="38"/>
      <c r="AW15" s="35">
        <f>IF(AND($C15="",$D15=""),0,IF(AND($C15&gt;$D15,AU15&gt;AV15),'Tabla general'!$L$4,IF(AND($D15&gt;$C15,AV15&gt;AU15),'Tabla general'!$L$4,IF(AND($C15=$D15,AU15=AV15),'Tabla general'!$L$4,0))) + IF(AND($C15=AU15,$D15=AV15),'Tabla general'!$L$5,0))</f>
        <v>0</v>
      </c>
      <c r="AX15" s="48"/>
      <c r="AY15" s="46"/>
      <c r="AZ15" s="35">
        <f>IF(AND($C15="",$D15=""),0,IF(AND($C15&gt;$D15,AX15&gt;AY15),'Tabla general'!$L$4,IF(AND($D15&gt;$C15,AY15&gt;AX15),'Tabla general'!$L$4,IF(AND($C15=$D15,AX15=AY15),'Tabla general'!$L$4,0))) + IF(AND($C15=AX15,$D15=AY15),'Tabla general'!$L$5,0))</f>
        <v>0</v>
      </c>
    </row>
    <row r="16" spans="1:52">
      <c r="A16" s="2" t="s">
        <v>72</v>
      </c>
      <c r="B16" s="2" t="s">
        <v>73</v>
      </c>
      <c r="C16" s="49"/>
      <c r="D16" s="50"/>
      <c r="E16" s="38"/>
      <c r="F16" s="38"/>
      <c r="G16" s="39">
        <f>IF(AND($C16="",$D16=""),0,IF(AND($C16&gt;$D16,E16&gt;F16),'Tabla general'!$L$4,IF(AND($D16&gt;$C16,F16&gt;E16),'Tabla general'!$L$4,IF(AND($C16=$D16,E16=F16),'Tabla general'!$L$4,0))) + IF(AND($C16=E16,$D16=F16),'Tabla general'!$L$5,0))</f>
        <v>0</v>
      </c>
      <c r="H16" s="38"/>
      <c r="I16" s="38"/>
      <c r="J16" s="26">
        <f>IF(AND($C16="",$D16=""),0,IF(AND($C16&gt;$D16,H16&gt;I16),'Tabla general'!$L$4,IF(AND($D16&gt;$C16,I16&gt;H16),'Tabla general'!$L$4,IF(AND($C16=$D16,H16=I16),'Tabla general'!$L$4,0))) + IF(AND($C16=H16,$D16=I16),'Tabla general'!$L$5,0))</f>
        <v>0</v>
      </c>
      <c r="K16" s="38"/>
      <c r="L16" s="38"/>
      <c r="M16" s="27">
        <f>IF(AND($C16="",$D16=""),0,IF(AND($C16&gt;$D16,K16&gt;L16),'Tabla general'!$L$4,IF(AND($D16&gt;$C16,L16&gt;K16),'Tabla general'!$L$4,IF(AND($C16=$D16,K16=L16),'Tabla general'!$L$4,0))) + IF(AND($C16=K16,$D16=L16),'Tabla general'!$L$5,0))</f>
        <v>0</v>
      </c>
      <c r="N16" s="38"/>
      <c r="O16" s="38"/>
      <c r="P16" s="28">
        <f>IF(AND($C16="",$D16=""),0,IF(AND($C16&gt;$D16,N16&gt;O16),'Tabla general'!$L$4,IF(AND($D16&gt;$C16,O16&gt;N16),'Tabla general'!$L$4,IF(AND($C16=$D16,N16=O16),'Tabla general'!$L$4,0))) + IF(AND($C16=N16,$D16=O16),'Tabla general'!$L$5,0))</f>
        <v>0</v>
      </c>
      <c r="Q16" s="38"/>
      <c r="R16" s="38"/>
      <c r="S16" s="29">
        <f>IF(AND($C16="",$D16=""),0,IF(AND($C16&gt;$D16,Q16&gt;R16),'Tabla general'!$L$4,IF(AND($D16&gt;$C16,R16&gt;Q16),'Tabla general'!$L$4,IF(AND($C16=$D16,Q16=R16),'Tabla general'!$L$4,0))) + IF(AND($C16=Q16,$D16=R16),'Tabla general'!$L$5,0))</f>
        <v>0</v>
      </c>
      <c r="T16" s="38"/>
      <c r="U16" s="38"/>
      <c r="V16" s="30">
        <f>IF(AND($C16="",$D16=""),0,IF(AND($C16&gt;$D16,T16&gt;U16),'Tabla general'!$L$4,IF(AND($D16&gt;$C16,U16&gt;T16),'Tabla general'!$L$4,IF(AND($C16=$D16,T16=U16),'Tabla general'!$L$4,0))) + IF(AND($C16=T16,$D16=U16),'Tabla general'!$L$5,0))</f>
        <v>0</v>
      </c>
      <c r="W16" s="38"/>
      <c r="X16" s="38"/>
      <c r="Y16" s="31">
        <f>IF(AND($C16="",$D16=""),0,IF(AND($C16&gt;$D16,W16&gt;X16),'Tabla general'!$L$4,IF(AND($D16&gt;$C16,X16&gt;W16),'Tabla general'!$L$4,IF(AND($C16=$D16,W16=X16),'Tabla general'!$L$4,0))) + IF(AND($C16=W16,$D16=X16),'Tabla general'!$L$5,0))</f>
        <v>0</v>
      </c>
      <c r="Z16" s="38"/>
      <c r="AA16" s="38"/>
      <c r="AB16" s="32">
        <f>IF(AND($C16="",$D16=""),0,IF(AND($C16&gt;$D16,Z16&gt;AA16),'Tabla general'!$L$4,IF(AND($D16&gt;$C16,AA16&gt;Z16),'Tabla general'!$L$4,IF(AND($C16=$D16,Z16=AA16),'Tabla general'!$L$4,0))) + IF(AND($C16=Z16,$D16=AA16),'Tabla general'!$L$5,0))</f>
        <v>0</v>
      </c>
      <c r="AC16" s="38"/>
      <c r="AD16" s="38"/>
      <c r="AE16" s="33">
        <f>IF(AND($C16="",$D16=""),0,IF(AND($C16&gt;$D16,AC16&gt;AD16),'Tabla general'!$L$4,IF(AND($D16&gt;$C16,AD16&gt;AC16),'Tabla general'!$L$4,IF(AND($C16=$D16,AC16=AD16),'Tabla general'!$L$4,0))) + IF(AND($C16=AC16,$D16=AD16),'Tabla general'!$L$5,0))</f>
        <v>0</v>
      </c>
      <c r="AF16" s="38"/>
      <c r="AG16" s="38"/>
      <c r="AH16" s="34">
        <f>IF(AND($C16="",$D16=""),0,IF(AND($C16&gt;$D16,AF16&gt;AG16),'Tabla general'!$L$4,IF(AND($D16&gt;$C16,AG16&gt;AF16),'Tabla general'!$L$4,IF(AND($C16=$D16,AF16=AG16),'Tabla general'!$L$4,0))) + IF(AND($C16=AF16,$D16=AG16),'Tabla general'!$L$5,0))</f>
        <v>0</v>
      </c>
      <c r="AI16" s="38"/>
      <c r="AJ16" s="38"/>
      <c r="AK16" s="35">
        <f>IF(AND($C16="",$D16=""),0,IF(AND($C16&gt;$D16,AI16&gt;AJ16),'Tabla general'!$L$4,IF(AND($D16&gt;$C16,AJ16&gt;AI16),'Tabla general'!$L$4,IF(AND($C16=$D16,AI16=AJ16),'Tabla general'!$L$4,0))) + IF(AND($C16=AI16,$D16=AJ16),'Tabla general'!$L$5,0))</f>
        <v>0</v>
      </c>
      <c r="AL16" s="38"/>
      <c r="AM16" s="38"/>
      <c r="AN16" s="36">
        <f>IF(AND($C16="",$D16=""),0,IF(AND($C16&gt;$D16,AL16&gt;AM16),'Tabla general'!$L$4,IF(AND($D16&gt;$C16,AM16&gt;AL16),'Tabla general'!$L$4,IF(AND($C16=$D16,AL16=AM16),'Tabla general'!$L$4,0))) + IF(AND($C16=AL16,$D16=AM16),'Tabla general'!$L$5,0))</f>
        <v>0</v>
      </c>
      <c r="AO16" s="38"/>
      <c r="AP16" s="38"/>
      <c r="AQ16" s="37">
        <f>IF(AND($C16="",$D16=""),0,IF(AND($C16&gt;$D16,AO16&gt;AP16),'Tabla general'!$L$4,IF(AND($D16&gt;$C16,AP16&gt;AO16),'Tabla general'!$L$4,IF(AND($C16=$D16,AO16=AP16),'Tabla general'!$L$4,0))) + IF(AND($C16=AO16,$D16=AP16),'Tabla general'!$L$5,0))</f>
        <v>0</v>
      </c>
      <c r="AR16" s="38"/>
      <c r="AS16" s="38"/>
      <c r="AT16" s="34">
        <f>IF(AND($C16="",$D16=""),0,IF(AND($C16&gt;$D16,AR16&gt;AS16),'Tabla general'!$L$4,IF(AND($D16&gt;$C16,AS16&gt;AR16),'Tabla general'!$L$4,IF(AND($C16=$D16,AR16=AS16),'Tabla general'!$L$4,0))) + IF(AND($C16=AR16,$D16=AS16),'Tabla general'!$L$5,0))</f>
        <v>0</v>
      </c>
      <c r="AU16" s="38"/>
      <c r="AV16" s="38"/>
      <c r="AW16" s="35">
        <f>IF(AND($C16="",$D16=""),0,IF(AND($C16&gt;$D16,AU16&gt;AV16),'Tabla general'!$L$4,IF(AND($D16&gt;$C16,AV16&gt;AU16),'Tabla general'!$L$4,IF(AND($C16=$D16,AU16=AV16),'Tabla general'!$L$4,0))) + IF(AND($C16=AU16,$D16=AV16),'Tabla general'!$L$5,0))</f>
        <v>0</v>
      </c>
      <c r="AX16" s="48"/>
      <c r="AY16" s="46"/>
      <c r="AZ16" s="35">
        <f>IF(AND($C16="",$D16=""),0,IF(AND($C16&gt;$D16,AX16&gt;AY16),'Tabla general'!$L$4,IF(AND($D16&gt;$C16,AY16&gt;AX16),'Tabla general'!$L$4,IF(AND($C16=$D16,AX16=AY16),'Tabla general'!$L$4,0))) + IF(AND($C16=AX16,$D16=AY16),'Tabla general'!$L$5,0))</f>
        <v>0</v>
      </c>
    </row>
    <row r="17" spans="1:52">
      <c r="A17" s="2" t="s">
        <v>78</v>
      </c>
      <c r="B17" s="2" t="s">
        <v>75</v>
      </c>
      <c r="C17" s="49"/>
      <c r="D17" s="50"/>
      <c r="E17" s="38"/>
      <c r="F17" s="38"/>
      <c r="G17" s="39">
        <f>IF(AND($C17="",$D17=""),0,IF(AND($C17&gt;$D17,E17&gt;F17),'Tabla general'!$L$4,IF(AND($D17&gt;$C17,F17&gt;E17),'Tabla general'!$L$4,IF(AND($C17=$D17,E17=F17),'Tabla general'!$L$4,0))) + IF(AND($C17=E17,$D17=F17),'Tabla general'!$L$5,0))</f>
        <v>0</v>
      </c>
      <c r="H17" s="38"/>
      <c r="I17" s="38"/>
      <c r="J17" s="26">
        <f>IF(AND($C17="",$D17=""),0,IF(AND($C17&gt;$D17,H17&gt;I17),'Tabla general'!$L$4,IF(AND($D17&gt;$C17,I17&gt;H17),'Tabla general'!$L$4,IF(AND($C17=$D17,H17=I17),'Tabla general'!$L$4,0))) + IF(AND($C17=H17,$D17=I17),'Tabla general'!$L$5,0))</f>
        <v>0</v>
      </c>
      <c r="K17" s="38"/>
      <c r="L17" s="38"/>
      <c r="M17" s="27">
        <f>IF(AND($C17="",$D17=""),0,IF(AND($C17&gt;$D17,K17&gt;L17),'Tabla general'!$L$4,IF(AND($D17&gt;$C17,L17&gt;K17),'Tabla general'!$L$4,IF(AND($C17=$D17,K17=L17),'Tabla general'!$L$4,0))) + IF(AND($C17=K17,$D17=L17),'Tabla general'!$L$5,0))</f>
        <v>0</v>
      </c>
      <c r="N17" s="38"/>
      <c r="O17" s="38"/>
      <c r="P17" s="28">
        <f>IF(AND($C17="",$D17=""),0,IF(AND($C17&gt;$D17,N17&gt;O17),'Tabla general'!$L$4,IF(AND($D17&gt;$C17,O17&gt;N17),'Tabla general'!$L$4,IF(AND($C17=$D17,N17=O17),'Tabla general'!$L$4,0))) + IF(AND($C17=N17,$D17=O17),'Tabla general'!$L$5,0))</f>
        <v>0</v>
      </c>
      <c r="Q17" s="38"/>
      <c r="R17" s="38"/>
      <c r="S17" s="29">
        <f>IF(AND($C17="",$D17=""),0,IF(AND($C17&gt;$D17,Q17&gt;R17),'Tabla general'!$L$4,IF(AND($D17&gt;$C17,R17&gt;Q17),'Tabla general'!$L$4,IF(AND($C17=$D17,Q17=R17),'Tabla general'!$L$4,0))) + IF(AND($C17=Q17,$D17=R17),'Tabla general'!$L$5,0))</f>
        <v>0</v>
      </c>
      <c r="T17" s="38"/>
      <c r="U17" s="38"/>
      <c r="V17" s="30">
        <f>IF(AND($C17="",$D17=""),0,IF(AND($C17&gt;$D17,T17&gt;U17),'Tabla general'!$L$4,IF(AND($D17&gt;$C17,U17&gt;T17),'Tabla general'!$L$4,IF(AND($C17=$D17,T17=U17),'Tabla general'!$L$4,0))) + IF(AND($C17=T17,$D17=U17),'Tabla general'!$L$5,0))</f>
        <v>0</v>
      </c>
      <c r="W17" s="38"/>
      <c r="X17" s="38"/>
      <c r="Y17" s="31">
        <f>IF(AND($C17="",$D17=""),0,IF(AND($C17&gt;$D17,W17&gt;X17),'Tabla general'!$L$4,IF(AND($D17&gt;$C17,X17&gt;W17),'Tabla general'!$L$4,IF(AND($C17=$D17,W17=X17),'Tabla general'!$L$4,0))) + IF(AND($C17=W17,$D17=X17),'Tabla general'!$L$5,0))</f>
        <v>0</v>
      </c>
      <c r="Z17" s="38"/>
      <c r="AA17" s="38"/>
      <c r="AB17" s="32">
        <f>IF(AND($C17="",$D17=""),0,IF(AND($C17&gt;$D17,Z17&gt;AA17),'Tabla general'!$L$4,IF(AND($D17&gt;$C17,AA17&gt;Z17),'Tabla general'!$L$4,IF(AND($C17=$D17,Z17=AA17),'Tabla general'!$L$4,0))) + IF(AND($C17=Z17,$D17=AA17),'Tabla general'!$L$5,0))</f>
        <v>0</v>
      </c>
      <c r="AC17" s="38"/>
      <c r="AD17" s="38"/>
      <c r="AE17" s="33">
        <f>IF(AND($C17="",$D17=""),0,IF(AND($C17&gt;$D17,AC17&gt;AD17),'Tabla general'!$L$4,IF(AND($D17&gt;$C17,AD17&gt;AC17),'Tabla general'!$L$4,IF(AND($C17=$D17,AC17=AD17),'Tabla general'!$L$4,0))) + IF(AND($C17=AC17,$D17=AD17),'Tabla general'!$L$5,0))</f>
        <v>0</v>
      </c>
      <c r="AF17" s="38"/>
      <c r="AG17" s="38"/>
      <c r="AH17" s="34">
        <f>IF(AND($C17="",$D17=""),0,IF(AND($C17&gt;$D17,AF17&gt;AG17),'Tabla general'!$L$4,IF(AND($D17&gt;$C17,AG17&gt;AF17),'Tabla general'!$L$4,IF(AND($C17=$D17,AF17=AG17),'Tabla general'!$L$4,0))) + IF(AND($C17=AF17,$D17=AG17),'Tabla general'!$L$5,0))</f>
        <v>0</v>
      </c>
      <c r="AI17" s="38"/>
      <c r="AJ17" s="38"/>
      <c r="AK17" s="35">
        <f>IF(AND($C17="",$D17=""),0,IF(AND($C17&gt;$D17,AI17&gt;AJ17),'Tabla general'!$L$4,IF(AND($D17&gt;$C17,AJ17&gt;AI17),'Tabla general'!$L$4,IF(AND($C17=$D17,AI17=AJ17),'Tabla general'!$L$4,0))) + IF(AND($C17=AI17,$D17=AJ17),'Tabla general'!$L$5,0))</f>
        <v>0</v>
      </c>
      <c r="AL17" s="38"/>
      <c r="AM17" s="38"/>
      <c r="AN17" s="36">
        <f>IF(AND($C17="",$D17=""),0,IF(AND($C17&gt;$D17,AL17&gt;AM17),'Tabla general'!$L$4,IF(AND($D17&gt;$C17,AM17&gt;AL17),'Tabla general'!$L$4,IF(AND($C17=$D17,AL17=AM17),'Tabla general'!$L$4,0))) + IF(AND($C17=AL17,$D17=AM17),'Tabla general'!$L$5,0))</f>
        <v>0</v>
      </c>
      <c r="AO17" s="38"/>
      <c r="AP17" s="38"/>
      <c r="AQ17" s="37">
        <f>IF(AND($C17="",$D17=""),0,IF(AND($C17&gt;$D17,AO17&gt;AP17),'Tabla general'!$L$4,IF(AND($D17&gt;$C17,AP17&gt;AO17),'Tabla general'!$L$4,IF(AND($C17=$D17,AO17=AP17),'Tabla general'!$L$4,0))) + IF(AND($C17=AO17,$D17=AP17),'Tabla general'!$L$5,0))</f>
        <v>0</v>
      </c>
      <c r="AR17" s="38"/>
      <c r="AS17" s="38"/>
      <c r="AT17" s="34">
        <f>IF(AND($C17="",$D17=""),0,IF(AND($C17&gt;$D17,AR17&gt;AS17),'Tabla general'!$L$4,IF(AND($D17&gt;$C17,AS17&gt;AR17),'Tabla general'!$L$4,IF(AND($C17=$D17,AR17=AS17),'Tabla general'!$L$4,0))) + IF(AND($C17=AR17,$D17=AS17),'Tabla general'!$L$5,0))</f>
        <v>0</v>
      </c>
      <c r="AU17" s="38"/>
      <c r="AV17" s="38"/>
      <c r="AW17" s="35">
        <f>IF(AND($C17="",$D17=""),0,IF(AND($C17&gt;$D17,AU17&gt;AV17),'Tabla general'!$L$4,IF(AND($D17&gt;$C17,AV17&gt;AU17),'Tabla general'!$L$4,IF(AND($C17=$D17,AU17=AV17),'Tabla general'!$L$4,0))) + IF(AND($C17=AU17,$D17=AV17),'Tabla general'!$L$5,0))</f>
        <v>0</v>
      </c>
      <c r="AX17" s="48"/>
      <c r="AY17" s="46"/>
      <c r="AZ17" s="35">
        <f>IF(AND($C17="",$D17=""),0,IF(AND($C17&gt;$D17,AX17&gt;AY17),'Tabla general'!$L$4,IF(AND($D17&gt;$C17,AY17&gt;AX17),'Tabla general'!$L$4,IF(AND($C17=$D17,AX17=AY17),'Tabla general'!$L$4,0))) + IF(AND($C17=AX17,$D17=AY17),'Tabla general'!$L$5,0))</f>
        <v>0</v>
      </c>
    </row>
    <row r="18" spans="1:52">
      <c r="A18" s="2" t="s">
        <v>106</v>
      </c>
      <c r="B18" s="2" t="s">
        <v>77</v>
      </c>
      <c r="C18" s="49"/>
      <c r="D18" s="50"/>
      <c r="E18" s="38"/>
      <c r="F18" s="38"/>
      <c r="G18" s="39">
        <f>IF(AND($C18="",$D18=""),0,IF(AND($C18&gt;$D18,E18&gt;F18),'Tabla general'!$L$4,IF(AND($D18&gt;$C18,F18&gt;E18),'Tabla general'!$L$4,IF(AND($C18=$D18,E18=F18),'Tabla general'!$L$4,0))) + IF(AND($C18=E18,$D18=F18),'Tabla general'!$L$5,0))</f>
        <v>0</v>
      </c>
      <c r="H18" s="38"/>
      <c r="I18" s="38"/>
      <c r="J18" s="26">
        <f>IF(AND($C18="",$D18=""),0,IF(AND($C18&gt;$D18,H18&gt;I18),'Tabla general'!$L$4,IF(AND($D18&gt;$C18,I18&gt;H18),'Tabla general'!$L$4,IF(AND($C18=$D18,H18=I18),'Tabla general'!$L$4,0))) + IF(AND($C18=H18,$D18=I18),'Tabla general'!$L$5,0))</f>
        <v>0</v>
      </c>
      <c r="K18" s="38"/>
      <c r="L18" s="38"/>
      <c r="M18" s="27">
        <f>IF(AND($C18="",$D18=""),0,IF(AND($C18&gt;$D18,K18&gt;L18),'Tabla general'!$L$4,IF(AND($D18&gt;$C18,L18&gt;K18),'Tabla general'!$L$4,IF(AND($C18=$D18,K18=L18),'Tabla general'!$L$4,0))) + IF(AND($C18=K18,$D18=L18),'Tabla general'!$L$5,0))</f>
        <v>0</v>
      </c>
      <c r="N18" s="38"/>
      <c r="O18" s="38"/>
      <c r="P18" s="28">
        <f>IF(AND($C18="",$D18=""),0,IF(AND($C18&gt;$D18,N18&gt;O18),'Tabla general'!$L$4,IF(AND($D18&gt;$C18,O18&gt;N18),'Tabla general'!$L$4,IF(AND($C18=$D18,N18=O18),'Tabla general'!$L$4,0))) + IF(AND($C18=N18,$D18=O18),'Tabla general'!$L$5,0))</f>
        <v>0</v>
      </c>
      <c r="Q18" s="38"/>
      <c r="R18" s="38"/>
      <c r="S18" s="29">
        <f>IF(AND($C18="",$D18=""),0,IF(AND($C18&gt;$D18,Q18&gt;R18),'Tabla general'!$L$4,IF(AND($D18&gt;$C18,R18&gt;Q18),'Tabla general'!$L$4,IF(AND($C18=$D18,Q18=R18),'Tabla general'!$L$4,0))) + IF(AND($C18=Q18,$D18=R18),'Tabla general'!$L$5,0))</f>
        <v>0</v>
      </c>
      <c r="T18" s="38"/>
      <c r="U18" s="38"/>
      <c r="V18" s="30">
        <f>IF(AND($C18="",$D18=""),0,IF(AND($C18&gt;$D18,T18&gt;U18),'Tabla general'!$L$4,IF(AND($D18&gt;$C18,U18&gt;T18),'Tabla general'!$L$4,IF(AND($C18=$D18,T18=U18),'Tabla general'!$L$4,0))) + IF(AND($C18=T18,$D18=U18),'Tabla general'!$L$5,0))</f>
        <v>0</v>
      </c>
      <c r="W18" s="38"/>
      <c r="X18" s="38"/>
      <c r="Y18" s="31">
        <f>IF(AND($C18="",$D18=""),0,IF(AND($C18&gt;$D18,W18&gt;X18),'Tabla general'!$L$4,IF(AND($D18&gt;$C18,X18&gt;W18),'Tabla general'!$L$4,IF(AND($C18=$D18,W18=X18),'Tabla general'!$L$4,0))) + IF(AND($C18=W18,$D18=X18),'Tabla general'!$L$5,0))</f>
        <v>0</v>
      </c>
      <c r="Z18" s="38"/>
      <c r="AA18" s="38"/>
      <c r="AB18" s="32">
        <f>IF(AND($C18="",$D18=""),0,IF(AND($C18&gt;$D18,Z18&gt;AA18),'Tabla general'!$L$4,IF(AND($D18&gt;$C18,AA18&gt;Z18),'Tabla general'!$L$4,IF(AND($C18=$D18,Z18=AA18),'Tabla general'!$L$4,0))) + IF(AND($C18=Z18,$D18=AA18),'Tabla general'!$L$5,0))</f>
        <v>0</v>
      </c>
      <c r="AC18" s="38"/>
      <c r="AD18" s="38"/>
      <c r="AE18" s="33">
        <f>IF(AND($C18="",$D18=""),0,IF(AND($C18&gt;$D18,AC18&gt;AD18),'Tabla general'!$L$4,IF(AND($D18&gt;$C18,AD18&gt;AC18),'Tabla general'!$L$4,IF(AND($C18=$D18,AC18=AD18),'Tabla general'!$L$4,0))) + IF(AND($C18=AC18,$D18=AD18),'Tabla general'!$L$5,0))</f>
        <v>0</v>
      </c>
      <c r="AF18" s="38"/>
      <c r="AG18" s="38"/>
      <c r="AH18" s="34">
        <f>IF(AND($C18="",$D18=""),0,IF(AND($C18&gt;$D18,AF18&gt;AG18),'Tabla general'!$L$4,IF(AND($D18&gt;$C18,AG18&gt;AF18),'Tabla general'!$L$4,IF(AND($C18=$D18,AF18=AG18),'Tabla general'!$L$4,0))) + IF(AND($C18=AF18,$D18=AG18),'Tabla general'!$L$5,0))</f>
        <v>0</v>
      </c>
      <c r="AI18" s="38"/>
      <c r="AJ18" s="38"/>
      <c r="AK18" s="35">
        <f>IF(AND($C18="",$D18=""),0,IF(AND($C18&gt;$D18,AI18&gt;AJ18),'Tabla general'!$L$4,IF(AND($D18&gt;$C18,AJ18&gt;AI18),'Tabla general'!$L$4,IF(AND($C18=$D18,AI18=AJ18),'Tabla general'!$L$4,0))) + IF(AND($C18=AI18,$D18=AJ18),'Tabla general'!$L$5,0))</f>
        <v>0</v>
      </c>
      <c r="AL18" s="38"/>
      <c r="AM18" s="38"/>
      <c r="AN18" s="36">
        <f>IF(AND($C18="",$D18=""),0,IF(AND($C18&gt;$D18,AL18&gt;AM18),'Tabla general'!$L$4,IF(AND($D18&gt;$C18,AM18&gt;AL18),'Tabla general'!$L$4,IF(AND($C18=$D18,AL18=AM18),'Tabla general'!$L$4,0))) + IF(AND($C18=AL18,$D18=AM18),'Tabla general'!$L$5,0))</f>
        <v>0</v>
      </c>
      <c r="AO18" s="38"/>
      <c r="AP18" s="38"/>
      <c r="AQ18" s="37">
        <f>IF(AND($C18="",$D18=""),0,IF(AND($C18&gt;$D18,AO18&gt;AP18),'Tabla general'!$L$4,IF(AND($D18&gt;$C18,AP18&gt;AO18),'Tabla general'!$L$4,IF(AND($C18=$D18,AO18=AP18),'Tabla general'!$L$4,0))) + IF(AND($C18=AO18,$D18=AP18),'Tabla general'!$L$5,0))</f>
        <v>0</v>
      </c>
      <c r="AR18" s="38"/>
      <c r="AS18" s="38"/>
      <c r="AT18" s="34">
        <f>IF(AND($C18="",$D18=""),0,IF(AND($C18&gt;$D18,AR18&gt;AS18),'Tabla general'!$L$4,IF(AND($D18&gt;$C18,AS18&gt;AR18),'Tabla general'!$L$4,IF(AND($C18=$D18,AR18=AS18),'Tabla general'!$L$4,0))) + IF(AND($C18=AR18,$D18=AS18),'Tabla general'!$L$5,0))</f>
        <v>0</v>
      </c>
      <c r="AU18" s="38"/>
      <c r="AV18" s="38"/>
      <c r="AW18" s="35">
        <f>IF(AND($C18="",$D18=""),0,IF(AND($C18&gt;$D18,AU18&gt;AV18),'Tabla general'!$L$4,IF(AND($D18&gt;$C18,AV18&gt;AU18),'Tabla general'!$L$4,IF(AND($C18=$D18,AU18=AV18),'Tabla general'!$L$4,0))) + IF(AND($C18=AU18,$D18=AV18),'Tabla general'!$L$5,0))</f>
        <v>0</v>
      </c>
      <c r="AX18" s="48"/>
      <c r="AY18" s="46"/>
      <c r="AZ18" s="35">
        <f>IF(AND($C18="",$D18=""),0,IF(AND($C18&gt;$D18,AX18&gt;AY18),'Tabla general'!$L$4,IF(AND($D18&gt;$C18,AY18&gt;AX18),'Tabla general'!$L$4,IF(AND($C18=$D18,AX18=AY18),'Tabla general'!$L$4,0))) + IF(AND($C18=AX18,$D18=AY18),'Tabla general'!$L$5,0))</f>
        <v>0</v>
      </c>
    </row>
    <row r="19" spans="1:52">
      <c r="A19" s="2" t="s">
        <v>80</v>
      </c>
      <c r="B19" s="2" t="s">
        <v>83</v>
      </c>
      <c r="C19" s="49"/>
      <c r="D19" s="50"/>
      <c r="E19" s="38"/>
      <c r="F19" s="38"/>
      <c r="G19" s="39">
        <f>IF(AND($C19="",$D19=""),0,IF(AND($C19&gt;$D19,E19&gt;F19),'Tabla general'!$L$4,IF(AND($D19&gt;$C19,F19&gt;E19),'Tabla general'!$L$4,IF(AND($C19=$D19,E19=F19),'Tabla general'!$L$4,0))) + IF(AND($C19=E19,$D19=F19),'Tabla general'!$L$5,0))</f>
        <v>0</v>
      </c>
      <c r="H19" s="38"/>
      <c r="I19" s="38"/>
      <c r="J19" s="26">
        <f>IF(AND($C19="",$D19=""),0,IF(AND($C19&gt;$D19,H19&gt;I19),'Tabla general'!$L$4,IF(AND($D19&gt;$C19,I19&gt;H19),'Tabla general'!$L$4,IF(AND($C19=$D19,H19=I19),'Tabla general'!$L$4,0))) + IF(AND($C19=H19,$D19=I19),'Tabla general'!$L$5,0))</f>
        <v>0</v>
      </c>
      <c r="K19" s="38"/>
      <c r="L19" s="38"/>
      <c r="M19" s="27">
        <f>IF(AND($C19="",$D19=""),0,IF(AND($C19&gt;$D19,K19&gt;L19),'Tabla general'!$L$4,IF(AND($D19&gt;$C19,L19&gt;K19),'Tabla general'!$L$4,IF(AND($C19=$D19,K19=L19),'Tabla general'!$L$4,0))) + IF(AND($C19=K19,$D19=L19),'Tabla general'!$L$5,0))</f>
        <v>0</v>
      </c>
      <c r="N19" s="38"/>
      <c r="O19" s="38"/>
      <c r="P19" s="28">
        <f>IF(AND($C19="",$D19=""),0,IF(AND($C19&gt;$D19,N19&gt;O19),'Tabla general'!$L$4,IF(AND($D19&gt;$C19,O19&gt;N19),'Tabla general'!$L$4,IF(AND($C19=$D19,N19=O19),'Tabla general'!$L$4,0))) + IF(AND($C19=N19,$D19=O19),'Tabla general'!$L$5,0))</f>
        <v>0</v>
      </c>
      <c r="Q19" s="38"/>
      <c r="R19" s="38"/>
      <c r="S19" s="29">
        <f>IF(AND($C19="",$D19=""),0,IF(AND($C19&gt;$D19,Q19&gt;R19),'Tabla general'!$L$4,IF(AND($D19&gt;$C19,R19&gt;Q19),'Tabla general'!$L$4,IF(AND($C19=$D19,Q19=R19),'Tabla general'!$L$4,0))) + IF(AND($C19=Q19,$D19=R19),'Tabla general'!$L$5,0))</f>
        <v>0</v>
      </c>
      <c r="T19" s="38"/>
      <c r="U19" s="38"/>
      <c r="V19" s="30">
        <f>IF(AND($C19="",$D19=""),0,IF(AND($C19&gt;$D19,T19&gt;U19),'Tabla general'!$L$4,IF(AND($D19&gt;$C19,U19&gt;T19),'Tabla general'!$L$4,IF(AND($C19=$D19,T19=U19),'Tabla general'!$L$4,0))) + IF(AND($C19=T19,$D19=U19),'Tabla general'!$L$5,0))</f>
        <v>0</v>
      </c>
      <c r="W19" s="38"/>
      <c r="X19" s="38"/>
      <c r="Y19" s="31">
        <f>IF(AND($C19="",$D19=""),0,IF(AND($C19&gt;$D19,W19&gt;X19),'Tabla general'!$L$4,IF(AND($D19&gt;$C19,X19&gt;W19),'Tabla general'!$L$4,IF(AND($C19=$D19,W19=X19),'Tabla general'!$L$4,0))) + IF(AND($C19=W19,$D19=X19),'Tabla general'!$L$5,0))</f>
        <v>0</v>
      </c>
      <c r="Z19" s="38"/>
      <c r="AA19" s="38"/>
      <c r="AB19" s="32">
        <f>IF(AND($C19="",$D19=""),0,IF(AND($C19&gt;$D19,Z19&gt;AA19),'Tabla general'!$L$4,IF(AND($D19&gt;$C19,AA19&gt;Z19),'Tabla general'!$L$4,IF(AND($C19=$D19,Z19=AA19),'Tabla general'!$L$4,0))) + IF(AND($C19=Z19,$D19=AA19),'Tabla general'!$L$5,0))</f>
        <v>0</v>
      </c>
      <c r="AC19" s="38"/>
      <c r="AD19" s="38"/>
      <c r="AE19" s="33">
        <f>IF(AND($C19="",$D19=""),0,IF(AND($C19&gt;$D19,AC19&gt;AD19),'Tabla general'!$L$4,IF(AND($D19&gt;$C19,AD19&gt;AC19),'Tabla general'!$L$4,IF(AND($C19=$D19,AC19=AD19),'Tabla general'!$L$4,0))) + IF(AND($C19=AC19,$D19=AD19),'Tabla general'!$L$5,0))</f>
        <v>0</v>
      </c>
      <c r="AF19" s="38"/>
      <c r="AG19" s="38"/>
      <c r="AH19" s="34">
        <f>IF(AND($C19="",$D19=""),0,IF(AND($C19&gt;$D19,AF19&gt;AG19),'Tabla general'!$L$4,IF(AND($D19&gt;$C19,AG19&gt;AF19),'Tabla general'!$L$4,IF(AND($C19=$D19,AF19=AG19),'Tabla general'!$L$4,0))) + IF(AND($C19=AF19,$D19=AG19),'Tabla general'!$L$5,0))</f>
        <v>0</v>
      </c>
      <c r="AI19" s="38"/>
      <c r="AJ19" s="38"/>
      <c r="AK19" s="35">
        <f>IF(AND($C19="",$D19=""),0,IF(AND($C19&gt;$D19,AI19&gt;AJ19),'Tabla general'!$L$4,IF(AND($D19&gt;$C19,AJ19&gt;AI19),'Tabla general'!$L$4,IF(AND($C19=$D19,AI19=AJ19),'Tabla general'!$L$4,0))) + IF(AND($C19=AI19,$D19=AJ19),'Tabla general'!$L$5,0))</f>
        <v>0</v>
      </c>
      <c r="AL19" s="38"/>
      <c r="AM19" s="38"/>
      <c r="AN19" s="36">
        <f>IF(AND($C19="",$D19=""),0,IF(AND($C19&gt;$D19,AL19&gt;AM19),'Tabla general'!$L$4,IF(AND($D19&gt;$C19,AM19&gt;AL19),'Tabla general'!$L$4,IF(AND($C19=$D19,AL19=AM19),'Tabla general'!$L$4,0))) + IF(AND($C19=AL19,$D19=AM19),'Tabla general'!$L$5,0))</f>
        <v>0</v>
      </c>
      <c r="AO19" s="38"/>
      <c r="AP19" s="38"/>
      <c r="AQ19" s="37">
        <f>IF(AND($C19="",$D19=""),0,IF(AND($C19&gt;$D19,AO19&gt;AP19),'Tabla general'!$L$4,IF(AND($D19&gt;$C19,AP19&gt;AO19),'Tabla general'!$L$4,IF(AND($C19=$D19,AO19=AP19),'Tabla general'!$L$4,0))) + IF(AND($C19=AO19,$D19=AP19),'Tabla general'!$L$5,0))</f>
        <v>0</v>
      </c>
      <c r="AR19" s="38"/>
      <c r="AS19" s="38"/>
      <c r="AT19" s="34">
        <f>IF(AND($C19="",$D19=""),0,IF(AND($C19&gt;$D19,AR19&gt;AS19),'Tabla general'!$L$4,IF(AND($D19&gt;$C19,AS19&gt;AR19),'Tabla general'!$L$4,IF(AND($C19=$D19,AR19=AS19),'Tabla general'!$L$4,0))) + IF(AND($C19=AR19,$D19=AS19),'Tabla general'!$L$5,0))</f>
        <v>0</v>
      </c>
      <c r="AU19" s="38"/>
      <c r="AV19" s="38"/>
      <c r="AW19" s="35">
        <f>IF(AND($C19="",$D19=""),0,IF(AND($C19&gt;$D19,AU19&gt;AV19),'Tabla general'!$L$4,IF(AND($D19&gt;$C19,AV19&gt;AU19),'Tabla general'!$L$4,IF(AND($C19=$D19,AU19=AV19),'Tabla general'!$L$4,0))) + IF(AND($C19=AU19,$D19=AV19),'Tabla general'!$L$5,0))</f>
        <v>0</v>
      </c>
      <c r="AX19" s="48"/>
      <c r="AY19" s="46"/>
      <c r="AZ19" s="35">
        <f>IF(AND($C19="",$D19=""),0,IF(AND($C19&gt;$D19,AX19&gt;AY19),'Tabla general'!$L$4,IF(AND($D19&gt;$C19,AY19&gt;AX19),'Tabla general'!$L$4,IF(AND($C19=$D19,AX19=AY19),'Tabla general'!$L$4,0))) + IF(AND($C19=AX19,$D19=AY19),'Tabla general'!$L$5,0))</f>
        <v>0</v>
      </c>
    </row>
    <row r="20" spans="1:52">
      <c r="A20" s="2" t="s">
        <v>84</v>
      </c>
      <c r="B20" s="2" t="s">
        <v>79</v>
      </c>
      <c r="C20" s="49"/>
      <c r="D20" s="50"/>
      <c r="E20" s="38"/>
      <c r="F20" s="38"/>
      <c r="G20" s="39">
        <f>IF(AND($C20="",$D20=""),0,IF(AND($C20&gt;$D20,E20&gt;F20),'Tabla general'!$L$4,IF(AND($D20&gt;$C20,F20&gt;E20),'Tabla general'!$L$4,IF(AND($C20=$D20,E20=F20),'Tabla general'!$L$4,0))) + IF(AND($C20=E20,$D20=F20),'Tabla general'!$L$5,0))</f>
        <v>0</v>
      </c>
      <c r="H20" s="38"/>
      <c r="I20" s="38"/>
      <c r="J20" s="26">
        <f>IF(AND($C20="",$D20=""),0,IF(AND($C20&gt;$D20,H20&gt;I20),'Tabla general'!$L$4,IF(AND($D20&gt;$C20,I20&gt;H20),'Tabla general'!$L$4,IF(AND($C20=$D20,H20=I20),'Tabla general'!$L$4,0))) + IF(AND($C20=H20,$D20=I20),'Tabla general'!$L$5,0))</f>
        <v>0</v>
      </c>
      <c r="K20" s="38"/>
      <c r="L20" s="38"/>
      <c r="M20" s="27">
        <f>IF(AND($C20="",$D20=""),0,IF(AND($C20&gt;$D20,K20&gt;L20),'Tabla general'!$L$4,IF(AND($D20&gt;$C20,L20&gt;K20),'Tabla general'!$L$4,IF(AND($C20=$D20,K20=L20),'Tabla general'!$L$4,0))) + IF(AND($C20=K20,$D20=L20),'Tabla general'!$L$5,0))</f>
        <v>0</v>
      </c>
      <c r="N20" s="38"/>
      <c r="O20" s="38"/>
      <c r="P20" s="28">
        <f>IF(AND($C20="",$D20=""),0,IF(AND($C20&gt;$D20,N20&gt;O20),'Tabla general'!$L$4,IF(AND($D20&gt;$C20,O20&gt;N20),'Tabla general'!$L$4,IF(AND($C20=$D20,N20=O20),'Tabla general'!$L$4,0))) + IF(AND($C20=N20,$D20=O20),'Tabla general'!$L$5,0))</f>
        <v>0</v>
      </c>
      <c r="Q20" s="38"/>
      <c r="R20" s="38"/>
      <c r="S20" s="29">
        <f>IF(AND($C20="",$D20=""),0,IF(AND($C20&gt;$D20,Q20&gt;R20),'Tabla general'!$L$4,IF(AND($D20&gt;$C20,R20&gt;Q20),'Tabla general'!$L$4,IF(AND($C20=$D20,Q20=R20),'Tabla general'!$L$4,0))) + IF(AND($C20=Q20,$D20=R20),'Tabla general'!$L$5,0))</f>
        <v>0</v>
      </c>
      <c r="T20" s="38"/>
      <c r="U20" s="38"/>
      <c r="V20" s="30">
        <f>IF(AND($C20="",$D20=""),0,IF(AND($C20&gt;$D20,T20&gt;U20),'Tabla general'!$L$4,IF(AND($D20&gt;$C20,U20&gt;T20),'Tabla general'!$L$4,IF(AND($C20=$D20,T20=U20),'Tabla general'!$L$4,0))) + IF(AND($C20=T20,$D20=U20),'Tabla general'!$L$5,0))</f>
        <v>0</v>
      </c>
      <c r="W20" s="38"/>
      <c r="X20" s="38"/>
      <c r="Y20" s="31">
        <f>IF(AND($C20="",$D20=""),0,IF(AND($C20&gt;$D20,W20&gt;X20),'Tabla general'!$L$4,IF(AND($D20&gt;$C20,X20&gt;W20),'Tabla general'!$L$4,IF(AND($C20=$D20,W20=X20),'Tabla general'!$L$4,0))) + IF(AND($C20=W20,$D20=X20),'Tabla general'!$L$5,0))</f>
        <v>0</v>
      </c>
      <c r="Z20" s="38"/>
      <c r="AA20" s="38"/>
      <c r="AB20" s="32">
        <f>IF(AND($C20="",$D20=""),0,IF(AND($C20&gt;$D20,Z20&gt;AA20),'Tabla general'!$L$4,IF(AND($D20&gt;$C20,AA20&gt;Z20),'Tabla general'!$L$4,IF(AND($C20=$D20,Z20=AA20),'Tabla general'!$L$4,0))) + IF(AND($C20=Z20,$D20=AA20),'Tabla general'!$L$5,0))</f>
        <v>0</v>
      </c>
      <c r="AC20" s="38"/>
      <c r="AD20" s="38"/>
      <c r="AE20" s="33">
        <f>IF(AND($C20="",$D20=""),0,IF(AND($C20&gt;$D20,AC20&gt;AD20),'Tabla general'!$L$4,IF(AND($D20&gt;$C20,AD20&gt;AC20),'Tabla general'!$L$4,IF(AND($C20=$D20,AC20=AD20),'Tabla general'!$L$4,0))) + IF(AND($C20=AC20,$D20=AD20),'Tabla general'!$L$5,0))</f>
        <v>0</v>
      </c>
      <c r="AF20" s="38"/>
      <c r="AG20" s="38"/>
      <c r="AH20" s="34">
        <f>IF(AND($C20="",$D20=""),0,IF(AND($C20&gt;$D20,AF20&gt;AG20),'Tabla general'!$L$4,IF(AND($D20&gt;$C20,AG20&gt;AF20),'Tabla general'!$L$4,IF(AND($C20=$D20,AF20=AG20),'Tabla general'!$L$4,0))) + IF(AND($C20=AF20,$D20=AG20),'Tabla general'!$L$5,0))</f>
        <v>0</v>
      </c>
      <c r="AI20" s="38"/>
      <c r="AJ20" s="38"/>
      <c r="AK20" s="35">
        <f>IF(AND($C20="",$D20=""),0,IF(AND($C20&gt;$D20,AI20&gt;AJ20),'Tabla general'!$L$4,IF(AND($D20&gt;$C20,AJ20&gt;AI20),'Tabla general'!$L$4,IF(AND($C20=$D20,AI20=AJ20),'Tabla general'!$L$4,0))) + IF(AND($C20=AI20,$D20=AJ20),'Tabla general'!$L$5,0))</f>
        <v>0</v>
      </c>
      <c r="AL20" s="38"/>
      <c r="AM20" s="38"/>
      <c r="AN20" s="36">
        <f>IF(AND($C20="",$D20=""),0,IF(AND($C20&gt;$D20,AL20&gt;AM20),'Tabla general'!$L$4,IF(AND($D20&gt;$C20,AM20&gt;AL20),'Tabla general'!$L$4,IF(AND($C20=$D20,AL20=AM20),'Tabla general'!$L$4,0))) + IF(AND($C20=AL20,$D20=AM20),'Tabla general'!$L$5,0))</f>
        <v>0</v>
      </c>
      <c r="AO20" s="38"/>
      <c r="AP20" s="38"/>
      <c r="AQ20" s="37">
        <f>IF(AND($C20="",$D20=""),0,IF(AND($C20&gt;$D20,AO20&gt;AP20),'Tabla general'!$L$4,IF(AND($D20&gt;$C20,AP20&gt;AO20),'Tabla general'!$L$4,IF(AND($C20=$D20,AO20=AP20),'Tabla general'!$L$4,0))) + IF(AND($C20=AO20,$D20=AP20),'Tabla general'!$L$5,0))</f>
        <v>0</v>
      </c>
      <c r="AR20" s="38"/>
      <c r="AS20" s="38"/>
      <c r="AT20" s="34">
        <f>IF(AND($C20="",$D20=""),0,IF(AND($C20&gt;$D20,AR20&gt;AS20),'Tabla general'!$L$4,IF(AND($D20&gt;$C20,AS20&gt;AR20),'Tabla general'!$L$4,IF(AND($C20=$D20,AR20=AS20),'Tabla general'!$L$4,0))) + IF(AND($C20=AR20,$D20=AS20),'Tabla general'!$L$5,0))</f>
        <v>0</v>
      </c>
      <c r="AU20" s="38"/>
      <c r="AV20" s="38"/>
      <c r="AW20" s="35">
        <f>IF(AND($C20="",$D20=""),0,IF(AND($C20&gt;$D20,AU20&gt;AV20),'Tabla general'!$L$4,IF(AND($D20&gt;$C20,AV20&gt;AU20),'Tabla general'!$L$4,IF(AND($C20=$D20,AU20=AV20),'Tabla general'!$L$4,0))) + IF(AND($C20=AU20,$D20=AV20),'Tabla general'!$L$5,0))</f>
        <v>0</v>
      </c>
      <c r="AX20" s="48"/>
      <c r="AY20" s="46"/>
      <c r="AZ20" s="35">
        <f>IF(AND($C20="",$D20=""),0,IF(AND($C20&gt;$D20,AX20&gt;AY20),'Tabla general'!$L$4,IF(AND($D20&gt;$C20,AY20&gt;AX20),'Tabla general'!$L$4,IF(AND($C20=$D20,AX20=AY20),'Tabla general'!$L$4,0))) + IF(AND($C20=AX20,$D20=AY20),'Tabla general'!$L$5,0))</f>
        <v>0</v>
      </c>
    </row>
    <row r="21" spans="1:52">
      <c r="A21" s="2" t="s">
        <v>86</v>
      </c>
      <c r="B21" s="2" t="s">
        <v>81</v>
      </c>
      <c r="C21" s="49"/>
      <c r="D21" s="50"/>
      <c r="E21" s="38"/>
      <c r="F21" s="38"/>
      <c r="G21" s="39">
        <f>IF(AND($C21="",$D21=""),0,IF(AND($C21&gt;$D21,E21&gt;F21),'Tabla general'!$L$4,IF(AND($D21&gt;$C21,F21&gt;E21),'Tabla general'!$L$4,IF(AND($C21=$D21,E21=F21),'Tabla general'!$L$4,0))) + IF(AND($C21=E21,$D21=F21),'Tabla general'!$L$5,0))</f>
        <v>0</v>
      </c>
      <c r="H21" s="38"/>
      <c r="I21" s="38"/>
      <c r="J21" s="26">
        <f>IF(AND($C21="",$D21=""),0,IF(AND($C21&gt;$D21,H21&gt;I21),'Tabla general'!$L$4,IF(AND($D21&gt;$C21,I21&gt;H21),'Tabla general'!$L$4,IF(AND($C21=$D21,H21=I21),'Tabla general'!$L$4,0))) + IF(AND($C21=H21,$D21=I21),'Tabla general'!$L$5,0))</f>
        <v>0</v>
      </c>
      <c r="K21" s="38"/>
      <c r="L21" s="38"/>
      <c r="M21" s="27">
        <f>IF(AND($C21="",$D21=""),0,IF(AND($C21&gt;$D21,K21&gt;L21),'Tabla general'!$L$4,IF(AND($D21&gt;$C21,L21&gt;K21),'Tabla general'!$L$4,IF(AND($C21=$D21,K21=L21),'Tabla general'!$L$4,0))) + IF(AND($C21=K21,$D21=L21),'Tabla general'!$L$5,0))</f>
        <v>0</v>
      </c>
      <c r="N21" s="38"/>
      <c r="O21" s="38"/>
      <c r="P21" s="28">
        <f>IF(AND($C21="",$D21=""),0,IF(AND($C21&gt;$D21,N21&gt;O21),'Tabla general'!$L$4,IF(AND($D21&gt;$C21,O21&gt;N21),'Tabla general'!$L$4,IF(AND($C21=$D21,N21=O21),'Tabla general'!$L$4,0))) + IF(AND($C21=N21,$D21=O21),'Tabla general'!$L$5,0))</f>
        <v>0</v>
      </c>
      <c r="Q21" s="38"/>
      <c r="R21" s="38"/>
      <c r="S21" s="29">
        <f>IF(AND($C21="",$D21=""),0,IF(AND($C21&gt;$D21,Q21&gt;R21),'Tabla general'!$L$4,IF(AND($D21&gt;$C21,R21&gt;Q21),'Tabla general'!$L$4,IF(AND($C21=$D21,Q21=R21),'Tabla general'!$L$4,0))) + IF(AND($C21=Q21,$D21=R21),'Tabla general'!$L$5,0))</f>
        <v>0</v>
      </c>
      <c r="T21" s="38"/>
      <c r="U21" s="38"/>
      <c r="V21" s="30">
        <f>IF(AND($C21="",$D21=""),0,IF(AND($C21&gt;$D21,T21&gt;U21),'Tabla general'!$L$4,IF(AND($D21&gt;$C21,U21&gt;T21),'Tabla general'!$L$4,IF(AND($C21=$D21,T21=U21),'Tabla general'!$L$4,0))) + IF(AND($C21=T21,$D21=U21),'Tabla general'!$L$5,0))</f>
        <v>0</v>
      </c>
      <c r="W21" s="38"/>
      <c r="X21" s="38"/>
      <c r="Y21" s="31">
        <f>IF(AND($C21="",$D21=""),0,IF(AND($C21&gt;$D21,W21&gt;X21),'Tabla general'!$L$4,IF(AND($D21&gt;$C21,X21&gt;W21),'Tabla general'!$L$4,IF(AND($C21=$D21,W21=X21),'Tabla general'!$L$4,0))) + IF(AND($C21=W21,$D21=X21),'Tabla general'!$L$5,0))</f>
        <v>0</v>
      </c>
      <c r="Z21" s="38"/>
      <c r="AA21" s="38"/>
      <c r="AB21" s="32">
        <f>IF(AND($C21="",$D21=""),0,IF(AND($C21&gt;$D21,Z21&gt;AA21),'Tabla general'!$L$4,IF(AND($D21&gt;$C21,AA21&gt;Z21),'Tabla general'!$L$4,IF(AND($C21=$D21,Z21=AA21),'Tabla general'!$L$4,0))) + IF(AND($C21=Z21,$D21=AA21),'Tabla general'!$L$5,0))</f>
        <v>0</v>
      </c>
      <c r="AC21" s="38"/>
      <c r="AD21" s="38"/>
      <c r="AE21" s="33">
        <f>IF(AND($C21="",$D21=""),0,IF(AND($C21&gt;$D21,AC21&gt;AD21),'Tabla general'!$L$4,IF(AND($D21&gt;$C21,AD21&gt;AC21),'Tabla general'!$L$4,IF(AND($C21=$D21,AC21=AD21),'Tabla general'!$L$4,0))) + IF(AND($C21=AC21,$D21=AD21),'Tabla general'!$L$5,0))</f>
        <v>0</v>
      </c>
      <c r="AF21" s="38"/>
      <c r="AG21" s="38"/>
      <c r="AH21" s="34">
        <f>IF(AND($C21="",$D21=""),0,IF(AND($C21&gt;$D21,AF21&gt;AG21),'Tabla general'!$L$4,IF(AND($D21&gt;$C21,AG21&gt;AF21),'Tabla general'!$L$4,IF(AND($C21=$D21,AF21=AG21),'Tabla general'!$L$4,0))) + IF(AND($C21=AF21,$D21=AG21),'Tabla general'!$L$5,0))</f>
        <v>0</v>
      </c>
      <c r="AI21" s="38"/>
      <c r="AJ21" s="38"/>
      <c r="AK21" s="35">
        <f>IF(AND($C21="",$D21=""),0,IF(AND($C21&gt;$D21,AI21&gt;AJ21),'Tabla general'!$L$4,IF(AND($D21&gt;$C21,AJ21&gt;AI21),'Tabla general'!$L$4,IF(AND($C21=$D21,AI21=AJ21),'Tabla general'!$L$4,0))) + IF(AND($C21=AI21,$D21=AJ21),'Tabla general'!$L$5,0))</f>
        <v>0</v>
      </c>
      <c r="AL21" s="38"/>
      <c r="AM21" s="38"/>
      <c r="AN21" s="36">
        <f>IF(AND($C21="",$D21=""),0,IF(AND($C21&gt;$D21,AL21&gt;AM21),'Tabla general'!$L$4,IF(AND($D21&gt;$C21,AM21&gt;AL21),'Tabla general'!$L$4,IF(AND($C21=$D21,AL21=AM21),'Tabla general'!$L$4,0))) + IF(AND($C21=AL21,$D21=AM21),'Tabla general'!$L$5,0))</f>
        <v>0</v>
      </c>
      <c r="AO21" s="38"/>
      <c r="AP21" s="38"/>
      <c r="AQ21" s="37">
        <f>IF(AND($C21="",$D21=""),0,IF(AND($C21&gt;$D21,AO21&gt;AP21),'Tabla general'!$L$4,IF(AND($D21&gt;$C21,AP21&gt;AO21),'Tabla general'!$L$4,IF(AND($C21=$D21,AO21=AP21),'Tabla general'!$L$4,0))) + IF(AND($C21=AO21,$D21=AP21),'Tabla general'!$L$5,0))</f>
        <v>0</v>
      </c>
      <c r="AR21" s="38"/>
      <c r="AS21" s="38"/>
      <c r="AT21" s="34">
        <f>IF(AND($C21="",$D21=""),0,IF(AND($C21&gt;$D21,AR21&gt;AS21),'Tabla general'!$L$4,IF(AND($D21&gt;$C21,AS21&gt;AR21),'Tabla general'!$L$4,IF(AND($C21=$D21,AR21=AS21),'Tabla general'!$L$4,0))) + IF(AND($C21=AR21,$D21=AS21),'Tabla general'!$L$5,0))</f>
        <v>0</v>
      </c>
      <c r="AU21" s="38"/>
      <c r="AV21" s="38"/>
      <c r="AW21" s="35">
        <f>IF(AND($C21="",$D21=""),0,IF(AND($C21&gt;$D21,AU21&gt;AV21),'Tabla general'!$L$4,IF(AND($D21&gt;$C21,AV21&gt;AU21),'Tabla general'!$L$4,IF(AND($C21=$D21,AU21=AV21),'Tabla general'!$L$4,0))) + IF(AND($C21=AU21,$D21=AV21),'Tabla general'!$L$5,0))</f>
        <v>0</v>
      </c>
      <c r="AX21" s="48"/>
      <c r="AY21" s="46"/>
      <c r="AZ21" s="35">
        <f>IF(AND($C21="",$D21=""),0,IF(AND($C21&gt;$D21,AX21&gt;AY21),'Tabla general'!$L$4,IF(AND($D21&gt;$C21,AY21&gt;AX21),'Tabla general'!$L$4,IF(AND($C21=$D21,AX21=AY21),'Tabla general'!$L$4,0))) + IF(AND($C21=AX21,$D21=AY21),'Tabla general'!$L$5,0))</f>
        <v>0</v>
      </c>
    </row>
    <row r="22" spans="1:52">
      <c r="A22" s="2" t="s">
        <v>82</v>
      </c>
      <c r="B22" s="2" t="s">
        <v>85</v>
      </c>
      <c r="C22" s="49"/>
      <c r="D22" s="50"/>
      <c r="E22" s="38"/>
      <c r="F22" s="38"/>
      <c r="G22" s="39">
        <f>IF(AND($C22="",$D22=""),0,IF(AND($C22&gt;$D22,E22&gt;F22),'Tabla general'!$L$4,IF(AND($D22&gt;$C22,F22&gt;E22),'Tabla general'!$L$4,IF(AND($C22=$D22,E22=F22),'Tabla general'!$L$4,0))) + IF(AND($C22=E22,$D22=F22),'Tabla general'!$L$5,0))</f>
        <v>0</v>
      </c>
      <c r="H22" s="38"/>
      <c r="I22" s="38"/>
      <c r="J22" s="26">
        <f>IF(AND($C22="",$D22=""),0,IF(AND($C22&gt;$D22,H22&gt;I22),'Tabla general'!$L$4,IF(AND($D22&gt;$C22,I22&gt;H22),'Tabla general'!$L$4,IF(AND($C22=$D22,H22=I22),'Tabla general'!$L$4,0))) + IF(AND($C22=H22,$D22=I22),'Tabla general'!$L$5,0))</f>
        <v>0</v>
      </c>
      <c r="K22" s="38"/>
      <c r="L22" s="38"/>
      <c r="M22" s="27">
        <f>IF(AND($C22="",$D22=""),0,IF(AND($C22&gt;$D22,K22&gt;L22),'Tabla general'!$L$4,IF(AND($D22&gt;$C22,L22&gt;K22),'Tabla general'!$L$4,IF(AND($C22=$D22,K22=L22),'Tabla general'!$L$4,0))) + IF(AND($C22=K22,$D22=L22),'Tabla general'!$L$5,0))</f>
        <v>0</v>
      </c>
      <c r="N22" s="38"/>
      <c r="O22" s="38"/>
      <c r="P22" s="28">
        <f>IF(AND($C22="",$D22=""),0,IF(AND($C22&gt;$D22,N22&gt;O22),'Tabla general'!$L$4,IF(AND($D22&gt;$C22,O22&gt;N22),'Tabla general'!$L$4,IF(AND($C22=$D22,N22=O22),'Tabla general'!$L$4,0))) + IF(AND($C22=N22,$D22=O22),'Tabla general'!$L$5,0))</f>
        <v>0</v>
      </c>
      <c r="Q22" s="38"/>
      <c r="R22" s="38"/>
      <c r="S22" s="29">
        <f>IF(AND($C22="",$D22=""),0,IF(AND($C22&gt;$D22,Q22&gt;R22),'Tabla general'!$L$4,IF(AND($D22&gt;$C22,R22&gt;Q22),'Tabla general'!$L$4,IF(AND($C22=$D22,Q22=R22),'Tabla general'!$L$4,0))) + IF(AND($C22=Q22,$D22=R22),'Tabla general'!$L$5,0))</f>
        <v>0</v>
      </c>
      <c r="T22" s="38"/>
      <c r="U22" s="38"/>
      <c r="V22" s="30">
        <f>IF(AND($C22="",$D22=""),0,IF(AND($C22&gt;$D22,T22&gt;U22),'Tabla general'!$L$4,IF(AND($D22&gt;$C22,U22&gt;T22),'Tabla general'!$L$4,IF(AND($C22=$D22,T22=U22),'Tabla general'!$L$4,0))) + IF(AND($C22=T22,$D22=U22),'Tabla general'!$L$5,0))</f>
        <v>0</v>
      </c>
      <c r="W22" s="38"/>
      <c r="X22" s="38"/>
      <c r="Y22" s="31">
        <f>IF(AND($C22="",$D22=""),0,IF(AND($C22&gt;$D22,W22&gt;X22),'Tabla general'!$L$4,IF(AND($D22&gt;$C22,X22&gt;W22),'Tabla general'!$L$4,IF(AND($C22=$D22,W22=X22),'Tabla general'!$L$4,0))) + IF(AND($C22=W22,$D22=X22),'Tabla general'!$L$5,0))</f>
        <v>0</v>
      </c>
      <c r="Z22" s="38"/>
      <c r="AA22" s="38"/>
      <c r="AB22" s="32">
        <f>IF(AND($C22="",$D22=""),0,IF(AND($C22&gt;$D22,Z22&gt;AA22),'Tabla general'!$L$4,IF(AND($D22&gt;$C22,AA22&gt;Z22),'Tabla general'!$L$4,IF(AND($C22=$D22,Z22=AA22),'Tabla general'!$L$4,0))) + IF(AND($C22=Z22,$D22=AA22),'Tabla general'!$L$5,0))</f>
        <v>0</v>
      </c>
      <c r="AC22" s="38"/>
      <c r="AD22" s="38"/>
      <c r="AE22" s="33">
        <f>IF(AND($C22="",$D22=""),0,IF(AND($C22&gt;$D22,AC22&gt;AD22),'Tabla general'!$L$4,IF(AND($D22&gt;$C22,AD22&gt;AC22),'Tabla general'!$L$4,IF(AND($C22=$D22,AC22=AD22),'Tabla general'!$L$4,0))) + IF(AND($C22=AC22,$D22=AD22),'Tabla general'!$L$5,0))</f>
        <v>0</v>
      </c>
      <c r="AF22" s="38"/>
      <c r="AG22" s="38"/>
      <c r="AH22" s="34">
        <f>IF(AND($C22="",$D22=""),0,IF(AND($C22&gt;$D22,AF22&gt;AG22),'Tabla general'!$L$4,IF(AND($D22&gt;$C22,AG22&gt;AF22),'Tabla general'!$L$4,IF(AND($C22=$D22,AF22=AG22),'Tabla general'!$L$4,0))) + IF(AND($C22=AF22,$D22=AG22),'Tabla general'!$L$5,0))</f>
        <v>0</v>
      </c>
      <c r="AI22" s="38"/>
      <c r="AJ22" s="38"/>
      <c r="AK22" s="35">
        <f>IF(AND($C22="",$D22=""),0,IF(AND($C22&gt;$D22,AI22&gt;AJ22),'Tabla general'!$L$4,IF(AND($D22&gt;$C22,AJ22&gt;AI22),'Tabla general'!$L$4,IF(AND($C22=$D22,AI22=AJ22),'Tabla general'!$L$4,0))) + IF(AND($C22=AI22,$D22=AJ22),'Tabla general'!$L$5,0))</f>
        <v>0</v>
      </c>
      <c r="AL22" s="38"/>
      <c r="AM22" s="38"/>
      <c r="AN22" s="36">
        <f>IF(AND($C22="",$D22=""),0,IF(AND($C22&gt;$D22,AL22&gt;AM22),'Tabla general'!$L$4,IF(AND($D22&gt;$C22,AM22&gt;AL22),'Tabla general'!$L$4,IF(AND($C22=$D22,AL22=AM22),'Tabla general'!$L$4,0))) + IF(AND($C22=AL22,$D22=AM22),'Tabla general'!$L$5,0))</f>
        <v>0</v>
      </c>
      <c r="AO22" s="38"/>
      <c r="AP22" s="38"/>
      <c r="AQ22" s="37">
        <f>IF(AND($C22="",$D22=""),0,IF(AND($C22&gt;$D22,AO22&gt;AP22),'Tabla general'!$L$4,IF(AND($D22&gt;$C22,AP22&gt;AO22),'Tabla general'!$L$4,IF(AND($C22=$D22,AO22=AP22),'Tabla general'!$L$4,0))) + IF(AND($C22=AO22,$D22=AP22),'Tabla general'!$L$5,0))</f>
        <v>0</v>
      </c>
      <c r="AR22" s="38"/>
      <c r="AS22" s="38"/>
      <c r="AT22" s="34">
        <f>IF(AND($C22="",$D22=""),0,IF(AND($C22&gt;$D22,AR22&gt;AS22),'Tabla general'!$L$4,IF(AND($D22&gt;$C22,AS22&gt;AR22),'Tabla general'!$L$4,IF(AND($C22=$D22,AR22=AS22),'Tabla general'!$L$4,0))) + IF(AND($C22=AR22,$D22=AS22),'Tabla general'!$L$5,0))</f>
        <v>0</v>
      </c>
      <c r="AU22" s="38"/>
      <c r="AV22" s="38"/>
      <c r="AW22" s="35">
        <f>IF(AND($C22="",$D22=""),0,IF(AND($C22&gt;$D22,AU22&gt;AV22),'Tabla general'!$L$4,IF(AND($D22&gt;$C22,AV22&gt;AU22),'Tabla general'!$L$4,IF(AND($C22=$D22,AU22=AV22),'Tabla general'!$L$4,0))) + IF(AND($C22=AU22,$D22=AV22),'Tabla general'!$L$5,0))</f>
        <v>0</v>
      </c>
      <c r="AX22" s="48"/>
      <c r="AY22" s="46"/>
      <c r="AZ22" s="35">
        <f>IF(AND($C22="",$D22=""),0,IF(AND($C22&gt;$D22,AX22&gt;AY22),'Tabla general'!$L$4,IF(AND($D22&gt;$C22,AY22&gt;AX22),'Tabla general'!$L$4,IF(AND($C22=$D22,AX22=AY22),'Tabla general'!$L$4,0))) + IF(AND($C22=AX22,$D22=AY22),'Tabla general'!$L$5,0))</f>
        <v>0</v>
      </c>
    </row>
    <row r="23" spans="1:52">
      <c r="A23" s="2" t="s">
        <v>105</v>
      </c>
      <c r="B23" s="2" t="s">
        <v>89</v>
      </c>
      <c r="C23" s="49"/>
      <c r="D23" s="50"/>
      <c r="E23" s="38"/>
      <c r="F23" s="38"/>
      <c r="G23" s="39">
        <f>IF(AND($C23="",$D23=""),0,IF(AND($C23&gt;$D23,E23&gt;F23),'Tabla general'!$L$4,IF(AND($D23&gt;$C23,F23&gt;E23),'Tabla general'!$L$4,IF(AND($C23=$D23,E23=F23),'Tabla general'!$L$4,0))) + IF(AND($C23=E23,$D23=F23),'Tabla general'!$L$5,0))</f>
        <v>0</v>
      </c>
      <c r="H23" s="38"/>
      <c r="I23" s="38"/>
      <c r="J23" s="26">
        <f>IF(AND($C23="",$D23=""),0,IF(AND($C23&gt;$D23,H23&gt;I23),'Tabla general'!$L$4,IF(AND($D23&gt;$C23,I23&gt;H23),'Tabla general'!$L$4,IF(AND($C23=$D23,H23=I23),'Tabla general'!$L$4,0))) + IF(AND($C23=H23,$D23=I23),'Tabla general'!$L$5,0))</f>
        <v>0</v>
      </c>
      <c r="K23" s="38"/>
      <c r="L23" s="38"/>
      <c r="M23" s="27">
        <f>IF(AND($C23="",$D23=""),0,IF(AND($C23&gt;$D23,K23&gt;L23),'Tabla general'!$L$4,IF(AND($D23&gt;$C23,L23&gt;K23),'Tabla general'!$L$4,IF(AND($C23=$D23,K23=L23),'Tabla general'!$L$4,0))) + IF(AND($C23=K23,$D23=L23),'Tabla general'!$L$5,0))</f>
        <v>0</v>
      </c>
      <c r="N23" s="38"/>
      <c r="O23" s="38"/>
      <c r="P23" s="28">
        <f>IF(AND($C23="",$D23=""),0,IF(AND($C23&gt;$D23,N23&gt;O23),'Tabla general'!$L$4,IF(AND($D23&gt;$C23,O23&gt;N23),'Tabla general'!$L$4,IF(AND($C23=$D23,N23=O23),'Tabla general'!$L$4,0))) + IF(AND($C23=N23,$D23=O23),'Tabla general'!$L$5,0))</f>
        <v>0</v>
      </c>
      <c r="Q23" s="38"/>
      <c r="R23" s="38"/>
      <c r="S23" s="29">
        <f>IF(AND($C23="",$D23=""),0,IF(AND($C23&gt;$D23,Q23&gt;R23),'Tabla general'!$L$4,IF(AND($D23&gt;$C23,R23&gt;Q23),'Tabla general'!$L$4,IF(AND($C23=$D23,Q23=R23),'Tabla general'!$L$4,0))) + IF(AND($C23=Q23,$D23=R23),'Tabla general'!$L$5,0))</f>
        <v>0</v>
      </c>
      <c r="T23" s="38"/>
      <c r="U23" s="38"/>
      <c r="V23" s="30">
        <f>IF(AND($C23="",$D23=""),0,IF(AND($C23&gt;$D23,T23&gt;U23),'Tabla general'!$L$4,IF(AND($D23&gt;$C23,U23&gt;T23),'Tabla general'!$L$4,IF(AND($C23=$D23,T23=U23),'Tabla general'!$L$4,0))) + IF(AND($C23=T23,$D23=U23),'Tabla general'!$L$5,0))</f>
        <v>0</v>
      </c>
      <c r="W23" s="38"/>
      <c r="X23" s="38"/>
      <c r="Y23" s="31">
        <f>IF(AND($C23="",$D23=""),0,IF(AND($C23&gt;$D23,W23&gt;X23),'Tabla general'!$L$4,IF(AND($D23&gt;$C23,X23&gt;W23),'Tabla general'!$L$4,IF(AND($C23=$D23,W23=X23),'Tabla general'!$L$4,0))) + IF(AND($C23=W23,$D23=X23),'Tabla general'!$L$5,0))</f>
        <v>0</v>
      </c>
      <c r="Z23" s="38"/>
      <c r="AA23" s="38"/>
      <c r="AB23" s="32">
        <f>IF(AND($C23="",$D23=""),0,IF(AND($C23&gt;$D23,Z23&gt;AA23),'Tabla general'!$L$4,IF(AND($D23&gt;$C23,AA23&gt;Z23),'Tabla general'!$L$4,IF(AND($C23=$D23,Z23=AA23),'Tabla general'!$L$4,0))) + IF(AND($C23=Z23,$D23=AA23),'Tabla general'!$L$5,0))</f>
        <v>0</v>
      </c>
      <c r="AC23" s="38"/>
      <c r="AD23" s="38"/>
      <c r="AE23" s="33">
        <f>IF(AND($C23="",$D23=""),0,IF(AND($C23&gt;$D23,AC23&gt;AD23),'Tabla general'!$L$4,IF(AND($D23&gt;$C23,AD23&gt;AC23),'Tabla general'!$L$4,IF(AND($C23=$D23,AC23=AD23),'Tabla general'!$L$4,0))) + IF(AND($C23=AC23,$D23=AD23),'Tabla general'!$L$5,0))</f>
        <v>0</v>
      </c>
      <c r="AF23" s="38"/>
      <c r="AG23" s="38"/>
      <c r="AH23" s="34">
        <f>IF(AND($C23="",$D23=""),0,IF(AND($C23&gt;$D23,AF23&gt;AG23),'Tabla general'!$L$4,IF(AND($D23&gt;$C23,AG23&gt;AF23),'Tabla general'!$L$4,IF(AND($C23=$D23,AF23=AG23),'Tabla general'!$L$4,0))) + IF(AND($C23=AF23,$D23=AG23),'Tabla general'!$L$5,0))</f>
        <v>0</v>
      </c>
      <c r="AI23" s="38"/>
      <c r="AJ23" s="38"/>
      <c r="AK23" s="35">
        <f>IF(AND($C23="",$D23=""),0,IF(AND($C23&gt;$D23,AI23&gt;AJ23),'Tabla general'!$L$4,IF(AND($D23&gt;$C23,AJ23&gt;AI23),'Tabla general'!$L$4,IF(AND($C23=$D23,AI23=AJ23),'Tabla general'!$L$4,0))) + IF(AND($C23=AI23,$D23=AJ23),'Tabla general'!$L$5,0))</f>
        <v>0</v>
      </c>
      <c r="AL23" s="38"/>
      <c r="AM23" s="38"/>
      <c r="AN23" s="36">
        <f>IF(AND($C23="",$D23=""),0,IF(AND($C23&gt;$D23,AL23&gt;AM23),'Tabla general'!$L$4,IF(AND($D23&gt;$C23,AM23&gt;AL23),'Tabla general'!$L$4,IF(AND($C23=$D23,AL23=AM23),'Tabla general'!$L$4,0))) + IF(AND($C23=AL23,$D23=AM23),'Tabla general'!$L$5,0))</f>
        <v>0</v>
      </c>
      <c r="AO23" s="38"/>
      <c r="AP23" s="38"/>
      <c r="AQ23" s="37">
        <f>IF(AND($C23="",$D23=""),0,IF(AND($C23&gt;$D23,AO23&gt;AP23),'Tabla general'!$L$4,IF(AND($D23&gt;$C23,AP23&gt;AO23),'Tabla general'!$L$4,IF(AND($C23=$D23,AO23=AP23),'Tabla general'!$L$4,0))) + IF(AND($C23=AO23,$D23=AP23),'Tabla general'!$L$5,0))</f>
        <v>0</v>
      </c>
      <c r="AR23" s="38"/>
      <c r="AS23" s="38"/>
      <c r="AT23" s="34">
        <f>IF(AND($C23="",$D23=""),0,IF(AND($C23&gt;$D23,AR23&gt;AS23),'Tabla general'!$L$4,IF(AND($D23&gt;$C23,AS23&gt;AR23),'Tabla general'!$L$4,IF(AND($C23=$D23,AR23=AS23),'Tabla general'!$L$4,0))) + IF(AND($C23=AR23,$D23=AS23),'Tabla general'!$L$5,0))</f>
        <v>0</v>
      </c>
      <c r="AU23" s="38"/>
      <c r="AV23" s="38"/>
      <c r="AW23" s="35">
        <f>IF(AND($C23="",$D23=""),0,IF(AND($C23&gt;$D23,AU23&gt;AV23),'Tabla general'!$L$4,IF(AND($D23&gt;$C23,AV23&gt;AU23),'Tabla general'!$L$4,IF(AND($C23=$D23,AU23=AV23),'Tabla general'!$L$4,0))) + IF(AND($C23=AU23,$D23=AV23),'Tabla general'!$L$5,0))</f>
        <v>0</v>
      </c>
      <c r="AX23" s="48"/>
      <c r="AY23" s="46"/>
      <c r="AZ23" s="35">
        <f>IF(AND($C23="",$D23=""),0,IF(AND($C23&gt;$D23,AX23&gt;AY23),'Tabla general'!$L$4,IF(AND($D23&gt;$C23,AY23&gt;AX23),'Tabla general'!$L$4,IF(AND($C23=$D23,AX23=AY23),'Tabla general'!$L$4,0))) + IF(AND($C23=AX23,$D23=AY23),'Tabla general'!$L$5,0))</f>
        <v>0</v>
      </c>
    </row>
    <row r="24" spans="1:52">
      <c r="A24" s="2" t="s">
        <v>90</v>
      </c>
      <c r="B24" s="2" t="s">
        <v>93</v>
      </c>
      <c r="C24" s="49"/>
      <c r="D24" s="50"/>
      <c r="E24" s="38"/>
      <c r="F24" s="38"/>
      <c r="G24" s="39">
        <f>IF(AND($C24="",$D24=""),0,IF(AND($C24&gt;$D24,E24&gt;F24),'Tabla general'!$L$4,IF(AND($D24&gt;$C24,F24&gt;E24),'Tabla general'!$L$4,IF(AND($C24=$D24,E24=F24),'Tabla general'!$L$4,0))) + IF(AND($C24=E24,$D24=F24),'Tabla general'!$L$5,0))</f>
        <v>0</v>
      </c>
      <c r="H24" s="38"/>
      <c r="I24" s="38"/>
      <c r="J24" s="26">
        <f>IF(AND($C24="",$D24=""),0,IF(AND($C24&gt;$D24,H24&gt;I24),'Tabla general'!$L$4,IF(AND($D24&gt;$C24,I24&gt;H24),'Tabla general'!$L$4,IF(AND($C24=$D24,H24=I24),'Tabla general'!$L$4,0))) + IF(AND($C24=H24,$D24=I24),'Tabla general'!$L$5,0))</f>
        <v>0</v>
      </c>
      <c r="K24" s="38"/>
      <c r="L24" s="38"/>
      <c r="M24" s="27">
        <f>IF(AND($C24="",$D24=""),0,IF(AND($C24&gt;$D24,K24&gt;L24),'Tabla general'!$L$4,IF(AND($D24&gt;$C24,L24&gt;K24),'Tabla general'!$L$4,IF(AND($C24=$D24,K24=L24),'Tabla general'!$L$4,0))) + IF(AND($C24=K24,$D24=L24),'Tabla general'!$L$5,0))</f>
        <v>0</v>
      </c>
      <c r="N24" s="38"/>
      <c r="O24" s="38"/>
      <c r="P24" s="28">
        <f>IF(AND($C24="",$D24=""),0,IF(AND($C24&gt;$D24,N24&gt;O24),'Tabla general'!$L$4,IF(AND($D24&gt;$C24,O24&gt;N24),'Tabla general'!$L$4,IF(AND($C24=$D24,N24=O24),'Tabla general'!$L$4,0))) + IF(AND($C24=N24,$D24=O24),'Tabla general'!$L$5,0))</f>
        <v>0</v>
      </c>
      <c r="Q24" s="38"/>
      <c r="R24" s="38"/>
      <c r="S24" s="29">
        <f>IF(AND($C24="",$D24=""),0,IF(AND($C24&gt;$D24,Q24&gt;R24),'Tabla general'!$L$4,IF(AND($D24&gt;$C24,R24&gt;Q24),'Tabla general'!$L$4,IF(AND($C24=$D24,Q24=R24),'Tabla general'!$L$4,0))) + IF(AND($C24=Q24,$D24=R24),'Tabla general'!$L$5,0))</f>
        <v>0</v>
      </c>
      <c r="T24" s="38"/>
      <c r="U24" s="38"/>
      <c r="V24" s="30">
        <f>IF(AND($C24="",$D24=""),0,IF(AND($C24&gt;$D24,T24&gt;U24),'Tabla general'!$L$4,IF(AND($D24&gt;$C24,U24&gt;T24),'Tabla general'!$L$4,IF(AND($C24=$D24,T24=U24),'Tabla general'!$L$4,0))) + IF(AND($C24=T24,$D24=U24),'Tabla general'!$L$5,0))</f>
        <v>0</v>
      </c>
      <c r="W24" s="38"/>
      <c r="X24" s="38"/>
      <c r="Y24" s="31">
        <f>IF(AND($C24="",$D24=""),0,IF(AND($C24&gt;$D24,W24&gt;X24),'Tabla general'!$L$4,IF(AND($D24&gt;$C24,X24&gt;W24),'Tabla general'!$L$4,IF(AND($C24=$D24,W24=X24),'Tabla general'!$L$4,0))) + IF(AND($C24=W24,$D24=X24),'Tabla general'!$L$5,0))</f>
        <v>0</v>
      </c>
      <c r="Z24" s="38"/>
      <c r="AA24" s="38"/>
      <c r="AB24" s="32">
        <f>IF(AND($C24="",$D24=""),0,IF(AND($C24&gt;$D24,Z24&gt;AA24),'Tabla general'!$L$4,IF(AND($D24&gt;$C24,AA24&gt;Z24),'Tabla general'!$L$4,IF(AND($C24=$D24,Z24=AA24),'Tabla general'!$L$4,0))) + IF(AND($C24=Z24,$D24=AA24),'Tabla general'!$L$5,0))</f>
        <v>0</v>
      </c>
      <c r="AC24" s="38"/>
      <c r="AD24" s="38"/>
      <c r="AE24" s="33">
        <f>IF(AND($C24="",$D24=""),0,IF(AND($C24&gt;$D24,AC24&gt;AD24),'Tabla general'!$L$4,IF(AND($D24&gt;$C24,AD24&gt;AC24),'Tabla general'!$L$4,IF(AND($C24=$D24,AC24=AD24),'Tabla general'!$L$4,0))) + IF(AND($C24=AC24,$D24=AD24),'Tabla general'!$L$5,0))</f>
        <v>0</v>
      </c>
      <c r="AF24" s="38"/>
      <c r="AG24" s="38"/>
      <c r="AH24" s="34">
        <f>IF(AND($C24="",$D24=""),0,IF(AND($C24&gt;$D24,AF24&gt;AG24),'Tabla general'!$L$4,IF(AND($D24&gt;$C24,AG24&gt;AF24),'Tabla general'!$L$4,IF(AND($C24=$D24,AF24=AG24),'Tabla general'!$L$4,0))) + IF(AND($C24=AF24,$D24=AG24),'Tabla general'!$L$5,0))</f>
        <v>0</v>
      </c>
      <c r="AI24" s="38"/>
      <c r="AJ24" s="38"/>
      <c r="AK24" s="35">
        <f>IF(AND($C24="",$D24=""),0,IF(AND($C24&gt;$D24,AI24&gt;AJ24),'Tabla general'!$L$4,IF(AND($D24&gt;$C24,AJ24&gt;AI24),'Tabla general'!$L$4,IF(AND($C24=$D24,AI24=AJ24),'Tabla general'!$L$4,0))) + IF(AND($C24=AI24,$D24=AJ24),'Tabla general'!$L$5,0))</f>
        <v>0</v>
      </c>
      <c r="AL24" s="38"/>
      <c r="AM24" s="38"/>
      <c r="AN24" s="36">
        <f>IF(AND($C24="",$D24=""),0,IF(AND($C24&gt;$D24,AL24&gt;AM24),'Tabla general'!$L$4,IF(AND($D24&gt;$C24,AM24&gt;AL24),'Tabla general'!$L$4,IF(AND($C24=$D24,AL24=AM24),'Tabla general'!$L$4,0))) + IF(AND($C24=AL24,$D24=AM24),'Tabla general'!$L$5,0))</f>
        <v>0</v>
      </c>
      <c r="AO24" s="38"/>
      <c r="AP24" s="38"/>
      <c r="AQ24" s="37">
        <f>IF(AND($C24="",$D24=""),0,IF(AND($C24&gt;$D24,AO24&gt;AP24),'Tabla general'!$L$4,IF(AND($D24&gt;$C24,AP24&gt;AO24),'Tabla general'!$L$4,IF(AND($C24=$D24,AO24=AP24),'Tabla general'!$L$4,0))) + IF(AND($C24=AO24,$D24=AP24),'Tabla general'!$L$5,0))</f>
        <v>0</v>
      </c>
      <c r="AR24" s="38"/>
      <c r="AS24" s="38"/>
      <c r="AT24" s="34">
        <f>IF(AND($C24="",$D24=""),0,IF(AND($C24&gt;$D24,AR24&gt;AS24),'Tabla general'!$L$4,IF(AND($D24&gt;$C24,AS24&gt;AR24),'Tabla general'!$L$4,IF(AND($C24=$D24,AR24=AS24),'Tabla general'!$L$4,0))) + IF(AND($C24=AR24,$D24=AS24),'Tabla general'!$L$5,0))</f>
        <v>0</v>
      </c>
      <c r="AU24" s="38"/>
      <c r="AV24" s="38"/>
      <c r="AW24" s="35">
        <f>IF(AND($C24="",$D24=""),0,IF(AND($C24&gt;$D24,AU24&gt;AV24),'Tabla general'!$L$4,IF(AND($D24&gt;$C24,AV24&gt;AU24),'Tabla general'!$L$4,IF(AND($C24=$D24,AU24=AV24),'Tabla general'!$L$4,0))) + IF(AND($C24=AU24,$D24=AV24),'Tabla general'!$L$5,0))</f>
        <v>0</v>
      </c>
      <c r="AX24" s="48"/>
      <c r="AY24" s="46"/>
      <c r="AZ24" s="35">
        <f>IF(AND($C24="",$D24=""),0,IF(AND($C24&gt;$D24,AX24&gt;AY24),'Tabla general'!$L$4,IF(AND($D24&gt;$C24,AY24&gt;AX24),'Tabla general'!$L$4,IF(AND($C24=$D24,AX24=AY24),'Tabla general'!$L$4,0))) + IF(AND($C24=AX24,$D24=AY24),'Tabla general'!$L$5,0))</f>
        <v>0</v>
      </c>
    </row>
    <row r="25" spans="1:52">
      <c r="A25" s="2" t="s">
        <v>88</v>
      </c>
      <c r="B25" s="2" t="s">
        <v>91</v>
      </c>
      <c r="C25" s="49"/>
      <c r="D25" s="50"/>
      <c r="E25" s="38"/>
      <c r="F25" s="38"/>
      <c r="G25" s="39">
        <f>IF(AND($C25="",$D25=""),0,IF(AND($C25&gt;$D25,E25&gt;F25),'Tabla general'!$L$4,IF(AND($D25&gt;$C25,F25&gt;E25),'Tabla general'!$L$4,IF(AND($C25=$D25,E25=F25),'Tabla general'!$L$4,0))) + IF(AND($C25=E25,$D25=F25),'Tabla general'!$L$5,0))</f>
        <v>0</v>
      </c>
      <c r="H25" s="38"/>
      <c r="I25" s="38"/>
      <c r="J25" s="26">
        <f>IF(AND($C25="",$D25=""),0,IF(AND($C25&gt;$D25,H25&gt;I25),'Tabla general'!$L$4,IF(AND($D25&gt;$C25,I25&gt;H25),'Tabla general'!$L$4,IF(AND($C25=$D25,H25=I25),'Tabla general'!$L$4,0))) + IF(AND($C25=H25,$D25=I25),'Tabla general'!$L$5,0))</f>
        <v>0</v>
      </c>
      <c r="K25" s="38"/>
      <c r="L25" s="38"/>
      <c r="M25" s="27">
        <f>IF(AND($C25="",$D25=""),0,IF(AND($C25&gt;$D25,K25&gt;L25),'Tabla general'!$L$4,IF(AND($D25&gt;$C25,L25&gt;K25),'Tabla general'!$L$4,IF(AND($C25=$D25,K25=L25),'Tabla general'!$L$4,0))) + IF(AND($C25=K25,$D25=L25),'Tabla general'!$L$5,0))</f>
        <v>0</v>
      </c>
      <c r="N25" s="38"/>
      <c r="O25" s="38"/>
      <c r="P25" s="28">
        <f>IF(AND($C25="",$D25=""),0,IF(AND($C25&gt;$D25,N25&gt;O25),'Tabla general'!$L$4,IF(AND($D25&gt;$C25,O25&gt;N25),'Tabla general'!$L$4,IF(AND($C25=$D25,N25=O25),'Tabla general'!$L$4,0))) + IF(AND($C25=N25,$D25=O25),'Tabla general'!$L$5,0))</f>
        <v>0</v>
      </c>
      <c r="Q25" s="38"/>
      <c r="R25" s="38"/>
      <c r="S25" s="29">
        <f>IF(AND($C25="",$D25=""),0,IF(AND($C25&gt;$D25,Q25&gt;R25),'Tabla general'!$L$4,IF(AND($D25&gt;$C25,R25&gt;Q25),'Tabla general'!$L$4,IF(AND($C25=$D25,Q25=R25),'Tabla general'!$L$4,0))) + IF(AND($C25=Q25,$D25=R25),'Tabla general'!$L$5,0))</f>
        <v>0</v>
      </c>
      <c r="T25" s="38"/>
      <c r="U25" s="38"/>
      <c r="V25" s="30">
        <f>IF(AND($C25="",$D25=""),0,IF(AND($C25&gt;$D25,T25&gt;U25),'Tabla general'!$L$4,IF(AND($D25&gt;$C25,U25&gt;T25),'Tabla general'!$L$4,IF(AND($C25=$D25,T25=U25),'Tabla general'!$L$4,0))) + IF(AND($C25=T25,$D25=U25),'Tabla general'!$L$5,0))</f>
        <v>0</v>
      </c>
      <c r="W25" s="38"/>
      <c r="X25" s="38"/>
      <c r="Y25" s="31">
        <f>IF(AND($C25="",$D25=""),0,IF(AND($C25&gt;$D25,W25&gt;X25),'Tabla general'!$L$4,IF(AND($D25&gt;$C25,X25&gt;W25),'Tabla general'!$L$4,IF(AND($C25=$D25,W25=X25),'Tabla general'!$L$4,0))) + IF(AND($C25=W25,$D25=X25),'Tabla general'!$L$5,0))</f>
        <v>0</v>
      </c>
      <c r="Z25" s="38"/>
      <c r="AA25" s="38"/>
      <c r="AB25" s="32">
        <f>IF(AND($C25="",$D25=""),0,IF(AND($C25&gt;$D25,Z25&gt;AA25),'Tabla general'!$L$4,IF(AND($D25&gt;$C25,AA25&gt;Z25),'Tabla general'!$L$4,IF(AND($C25=$D25,Z25=AA25),'Tabla general'!$L$4,0))) + IF(AND($C25=Z25,$D25=AA25),'Tabla general'!$L$5,0))</f>
        <v>0</v>
      </c>
      <c r="AC25" s="38"/>
      <c r="AD25" s="38"/>
      <c r="AE25" s="33">
        <f>IF(AND($C25="",$D25=""),0,IF(AND($C25&gt;$D25,AC25&gt;AD25),'Tabla general'!$L$4,IF(AND($D25&gt;$C25,AD25&gt;AC25),'Tabla general'!$L$4,IF(AND($C25=$D25,AC25=AD25),'Tabla general'!$L$4,0))) + IF(AND($C25=AC25,$D25=AD25),'Tabla general'!$L$5,0))</f>
        <v>0</v>
      </c>
      <c r="AF25" s="38"/>
      <c r="AG25" s="38"/>
      <c r="AH25" s="34">
        <f>IF(AND($C25="",$D25=""),0,IF(AND($C25&gt;$D25,AF25&gt;AG25),'Tabla general'!$L$4,IF(AND($D25&gt;$C25,AG25&gt;AF25),'Tabla general'!$L$4,IF(AND($C25=$D25,AF25=AG25),'Tabla general'!$L$4,0))) + IF(AND($C25=AF25,$D25=AG25),'Tabla general'!$L$5,0))</f>
        <v>0</v>
      </c>
      <c r="AI25" s="38"/>
      <c r="AJ25" s="38"/>
      <c r="AK25" s="35">
        <f>IF(AND($C25="",$D25=""),0,IF(AND($C25&gt;$D25,AI25&gt;AJ25),'Tabla general'!$L$4,IF(AND($D25&gt;$C25,AJ25&gt;AI25),'Tabla general'!$L$4,IF(AND($C25=$D25,AI25=AJ25),'Tabla general'!$L$4,0))) + IF(AND($C25=AI25,$D25=AJ25),'Tabla general'!$L$5,0))</f>
        <v>0</v>
      </c>
      <c r="AL25" s="38"/>
      <c r="AM25" s="38"/>
      <c r="AN25" s="36">
        <f>IF(AND($C25="",$D25=""),0,IF(AND($C25&gt;$D25,AL25&gt;AM25),'Tabla general'!$L$4,IF(AND($D25&gt;$C25,AM25&gt;AL25),'Tabla general'!$L$4,IF(AND($C25=$D25,AL25=AM25),'Tabla general'!$L$4,0))) + IF(AND($C25=AL25,$D25=AM25),'Tabla general'!$L$5,0))</f>
        <v>0</v>
      </c>
      <c r="AO25" s="38"/>
      <c r="AP25" s="38"/>
      <c r="AQ25" s="37">
        <f>IF(AND($C25="",$D25=""),0,IF(AND($C25&gt;$D25,AO25&gt;AP25),'Tabla general'!$L$4,IF(AND($D25&gt;$C25,AP25&gt;AO25),'Tabla general'!$L$4,IF(AND($C25=$D25,AO25=AP25),'Tabla general'!$L$4,0))) + IF(AND($C25=AO25,$D25=AP25),'Tabla general'!$L$5,0))</f>
        <v>0</v>
      </c>
      <c r="AR25" s="38"/>
      <c r="AS25" s="38"/>
      <c r="AT25" s="34">
        <f>IF(AND($C25="",$D25=""),0,IF(AND($C25&gt;$D25,AR25&gt;AS25),'Tabla general'!$L$4,IF(AND($D25&gt;$C25,AS25&gt;AR25),'Tabla general'!$L$4,IF(AND($C25=$D25,AR25=AS25),'Tabla general'!$L$4,0))) + IF(AND($C25=AR25,$D25=AS25),'Tabla general'!$L$5,0))</f>
        <v>0</v>
      </c>
      <c r="AU25" s="38"/>
      <c r="AV25" s="38"/>
      <c r="AW25" s="35">
        <f>IF(AND($C25="",$D25=""),0,IF(AND($C25&gt;$D25,AU25&gt;AV25),'Tabla general'!$L$4,IF(AND($D25&gt;$C25,AV25&gt;AU25),'Tabla general'!$L$4,IF(AND($C25=$D25,AU25=AV25),'Tabla general'!$L$4,0))) + IF(AND($C25=AU25,$D25=AV25),'Tabla general'!$L$5,0))</f>
        <v>0</v>
      </c>
      <c r="AX25" s="48"/>
      <c r="AY25" s="46"/>
      <c r="AZ25" s="35">
        <f>IF(AND($C25="",$D25=""),0,IF(AND($C25&gt;$D25,AX25&gt;AY25),'Tabla general'!$L$4,IF(AND($D25&gt;$C25,AY25&gt;AX25),'Tabla general'!$L$4,IF(AND($C25=$D25,AX25=AY25),'Tabla general'!$L$4,0))) + IF(AND($C25=AX25,$D25=AY25),'Tabla general'!$L$5,0))</f>
        <v>0</v>
      </c>
    </row>
    <row r="26" spans="1:52">
      <c r="A26" s="2" t="s">
        <v>92</v>
      </c>
      <c r="B26" s="2" t="s">
        <v>87</v>
      </c>
      <c r="C26" s="49"/>
      <c r="D26" s="50"/>
      <c r="E26" s="38"/>
      <c r="F26" s="38"/>
      <c r="G26" s="39">
        <f>IF(AND($C26="",$D26=""),0,IF(AND($C26&gt;$D26,E26&gt;F26),'Tabla general'!$L$4,IF(AND($D26&gt;$C26,F26&gt;E26),'Tabla general'!$L$4,IF(AND($C26=$D26,E26=F26),'Tabla general'!$L$4,0))) + IF(AND($C26=E26,$D26=F26),'Tabla general'!$L$5,0))</f>
        <v>0</v>
      </c>
      <c r="H26" s="38"/>
      <c r="I26" s="38"/>
      <c r="J26" s="26">
        <f>IF(AND($C26="",$D26=""),0,IF(AND($C26&gt;$D26,H26&gt;I26),'Tabla general'!$L$4,IF(AND($D26&gt;$C26,I26&gt;H26),'Tabla general'!$L$4,IF(AND($C26=$D26,H26=I26),'Tabla general'!$L$4,0))) + IF(AND($C26=H26,$D26=I26),'Tabla general'!$L$5,0))</f>
        <v>0</v>
      </c>
      <c r="K26" s="38"/>
      <c r="L26" s="38"/>
      <c r="M26" s="27">
        <f>IF(AND($C26="",$D26=""),0,IF(AND($C26&gt;$D26,K26&gt;L26),'Tabla general'!$L$4,IF(AND($D26&gt;$C26,L26&gt;K26),'Tabla general'!$L$4,IF(AND($C26=$D26,K26=L26),'Tabla general'!$L$4,0))) + IF(AND($C26=K26,$D26=L26),'Tabla general'!$L$5,0))</f>
        <v>0</v>
      </c>
      <c r="N26" s="38"/>
      <c r="O26" s="38"/>
      <c r="P26" s="28">
        <f>IF(AND($C26="",$D26=""),0,IF(AND($C26&gt;$D26,N26&gt;O26),'Tabla general'!$L$4,IF(AND($D26&gt;$C26,O26&gt;N26),'Tabla general'!$L$4,IF(AND($C26=$D26,N26=O26),'Tabla general'!$L$4,0))) + IF(AND($C26=N26,$D26=O26),'Tabla general'!$L$5,0))</f>
        <v>0</v>
      </c>
      <c r="Q26" s="38"/>
      <c r="R26" s="38"/>
      <c r="S26" s="29">
        <f>IF(AND($C26="",$D26=""),0,IF(AND($C26&gt;$D26,Q26&gt;R26),'Tabla general'!$L$4,IF(AND($D26&gt;$C26,R26&gt;Q26),'Tabla general'!$L$4,IF(AND($C26=$D26,Q26=R26),'Tabla general'!$L$4,0))) + IF(AND($C26=Q26,$D26=R26),'Tabla general'!$L$5,0))</f>
        <v>0</v>
      </c>
      <c r="T26" s="38"/>
      <c r="U26" s="38"/>
      <c r="V26" s="30">
        <f>IF(AND($C26="",$D26=""),0,IF(AND($C26&gt;$D26,T26&gt;U26),'Tabla general'!$L$4,IF(AND($D26&gt;$C26,U26&gt;T26),'Tabla general'!$L$4,IF(AND($C26=$D26,T26=U26),'Tabla general'!$L$4,0))) + IF(AND($C26=T26,$D26=U26),'Tabla general'!$L$5,0))</f>
        <v>0</v>
      </c>
      <c r="W26" s="38"/>
      <c r="X26" s="38"/>
      <c r="Y26" s="31">
        <f>IF(AND($C26="",$D26=""),0,IF(AND($C26&gt;$D26,W26&gt;X26),'Tabla general'!$L$4,IF(AND($D26&gt;$C26,X26&gt;W26),'Tabla general'!$L$4,IF(AND($C26=$D26,W26=X26),'Tabla general'!$L$4,0))) + IF(AND($C26=W26,$D26=X26),'Tabla general'!$L$5,0))</f>
        <v>0</v>
      </c>
      <c r="Z26" s="38"/>
      <c r="AA26" s="38"/>
      <c r="AB26" s="32">
        <f>IF(AND($C26="",$D26=""),0,IF(AND($C26&gt;$D26,Z26&gt;AA26),'Tabla general'!$L$4,IF(AND($D26&gt;$C26,AA26&gt;Z26),'Tabla general'!$L$4,IF(AND($C26=$D26,Z26=AA26),'Tabla general'!$L$4,0))) + IF(AND($C26=Z26,$D26=AA26),'Tabla general'!$L$5,0))</f>
        <v>0</v>
      </c>
      <c r="AC26" s="38"/>
      <c r="AD26" s="38"/>
      <c r="AE26" s="33">
        <f>IF(AND($C26="",$D26=""),0,IF(AND($C26&gt;$D26,AC26&gt;AD26),'Tabla general'!$L$4,IF(AND($D26&gt;$C26,AD26&gt;AC26),'Tabla general'!$L$4,IF(AND($C26=$D26,AC26=AD26),'Tabla general'!$L$4,0))) + IF(AND($C26=AC26,$D26=AD26),'Tabla general'!$L$5,0))</f>
        <v>0</v>
      </c>
      <c r="AF26" s="38"/>
      <c r="AG26" s="38"/>
      <c r="AH26" s="34">
        <f>IF(AND($C26="",$D26=""),0,IF(AND($C26&gt;$D26,AF26&gt;AG26),'Tabla general'!$L$4,IF(AND($D26&gt;$C26,AG26&gt;AF26),'Tabla general'!$L$4,IF(AND($C26=$D26,AF26=AG26),'Tabla general'!$L$4,0))) + IF(AND($C26=AF26,$D26=AG26),'Tabla general'!$L$5,0))</f>
        <v>0</v>
      </c>
      <c r="AI26" s="38"/>
      <c r="AJ26" s="38"/>
      <c r="AK26" s="35">
        <f>IF(AND($C26="",$D26=""),0,IF(AND($C26&gt;$D26,AI26&gt;AJ26),'Tabla general'!$L$4,IF(AND($D26&gt;$C26,AJ26&gt;AI26),'Tabla general'!$L$4,IF(AND($C26=$D26,AI26=AJ26),'Tabla general'!$L$4,0))) + IF(AND($C26=AI26,$D26=AJ26),'Tabla general'!$L$5,0))</f>
        <v>0</v>
      </c>
      <c r="AL26" s="38"/>
      <c r="AM26" s="38"/>
      <c r="AN26" s="36">
        <f>IF(AND($C26="",$D26=""),0,IF(AND($C26&gt;$D26,AL26&gt;AM26),'Tabla general'!$L$4,IF(AND($D26&gt;$C26,AM26&gt;AL26),'Tabla general'!$L$4,IF(AND($C26=$D26,AL26=AM26),'Tabla general'!$L$4,0))) + IF(AND($C26=AL26,$D26=AM26),'Tabla general'!$L$5,0))</f>
        <v>0</v>
      </c>
      <c r="AO26" s="38"/>
      <c r="AP26" s="38"/>
      <c r="AQ26" s="37">
        <f>IF(AND($C26="",$D26=""),0,IF(AND($C26&gt;$D26,AO26&gt;AP26),'Tabla general'!$L$4,IF(AND($D26&gt;$C26,AP26&gt;AO26),'Tabla general'!$L$4,IF(AND($C26=$D26,AO26=AP26),'Tabla general'!$L$4,0))) + IF(AND($C26=AO26,$D26=AP26),'Tabla general'!$L$5,0))</f>
        <v>0</v>
      </c>
      <c r="AR26" s="38"/>
      <c r="AS26" s="38"/>
      <c r="AT26" s="34">
        <f>IF(AND($C26="",$D26=""),0,IF(AND($C26&gt;$D26,AR26&gt;AS26),'Tabla general'!$L$4,IF(AND($D26&gt;$C26,AS26&gt;AR26),'Tabla general'!$L$4,IF(AND($C26=$D26,AR26=AS26),'Tabla general'!$L$4,0))) + IF(AND($C26=AR26,$D26=AS26),'Tabla general'!$L$5,0))</f>
        <v>0</v>
      </c>
      <c r="AU26" s="38"/>
      <c r="AV26" s="38"/>
      <c r="AW26" s="35">
        <f>IF(AND($C26="",$D26=""),0,IF(AND($C26&gt;$D26,AU26&gt;AV26),'Tabla general'!$L$4,IF(AND($D26&gt;$C26,AV26&gt;AU26),'Tabla general'!$L$4,IF(AND($C26=$D26,AU26=AV26),'Tabla general'!$L$4,0))) + IF(AND($C26=AU26,$D26=AV26),'Tabla general'!$L$5,0))</f>
        <v>0</v>
      </c>
      <c r="AX26" s="48"/>
      <c r="AY26" s="46"/>
      <c r="AZ26" s="35">
        <f>IF(AND($C26="",$D26=""),0,IF(AND($C26&gt;$D26,AX26&gt;AY26),'Tabla general'!$L$4,IF(AND($D26&gt;$C26,AY26&gt;AX26),'Tabla general'!$L$4,IF(AND($C26=$D26,AX26=AY26),'Tabla general'!$L$4,0))) + IF(AND($C26=AX26,$D26=AY26),'Tabla general'!$L$5,0))</f>
        <v>0</v>
      </c>
    </row>
    <row r="27" spans="1:52">
      <c r="A27" s="2" t="s">
        <v>100</v>
      </c>
      <c r="B27" s="2" t="s">
        <v>101</v>
      </c>
      <c r="C27" s="49"/>
      <c r="D27" s="50"/>
      <c r="E27" s="38"/>
      <c r="F27" s="38"/>
      <c r="G27" s="39">
        <f>IF(AND($C27="",$D27=""),0,IF(AND($C27&gt;$D27,E27&gt;F27),'Tabla general'!$L$4,IF(AND($D27&gt;$C27,F27&gt;E27),'Tabla general'!$L$4,IF(AND($C27=$D27,E27=F27),'Tabla general'!$L$4,0))) + IF(AND($C27=E27,$D27=F27),'Tabla general'!$L$5,0))</f>
        <v>0</v>
      </c>
      <c r="H27" s="38"/>
      <c r="I27" s="38"/>
      <c r="J27" s="26">
        <f>IF(AND($C27="",$D27=""),0,IF(AND($C27&gt;$D27,H27&gt;I27),'Tabla general'!$L$4,IF(AND($D27&gt;$C27,I27&gt;H27),'Tabla general'!$L$4,IF(AND($C27=$D27,H27=I27),'Tabla general'!$L$4,0))) + IF(AND($C27=H27,$D27=I27),'Tabla general'!$L$5,0))</f>
        <v>0</v>
      </c>
      <c r="K27" s="38"/>
      <c r="L27" s="38"/>
      <c r="M27" s="27">
        <f>IF(AND($C27="",$D27=""),0,IF(AND($C27&gt;$D27,K27&gt;L27),'Tabla general'!$L$4,IF(AND($D27&gt;$C27,L27&gt;K27),'Tabla general'!$L$4,IF(AND($C27=$D27,K27=L27),'Tabla general'!$L$4,0))) + IF(AND($C27=K27,$D27=L27),'Tabla general'!$L$5,0))</f>
        <v>0</v>
      </c>
      <c r="N27" s="38"/>
      <c r="O27" s="38"/>
      <c r="P27" s="28">
        <f>IF(AND($C27="",$D27=""),0,IF(AND($C27&gt;$D27,N27&gt;O27),'Tabla general'!$L$4,IF(AND($D27&gt;$C27,O27&gt;N27),'Tabla general'!$L$4,IF(AND($C27=$D27,N27=O27),'Tabla general'!$L$4,0))) + IF(AND($C27=N27,$D27=O27),'Tabla general'!$L$5,0))</f>
        <v>0</v>
      </c>
      <c r="Q27" s="38"/>
      <c r="R27" s="38"/>
      <c r="S27" s="29">
        <f>IF(AND($C27="",$D27=""),0,IF(AND($C27&gt;$D27,Q27&gt;R27),'Tabla general'!$L$4,IF(AND($D27&gt;$C27,R27&gt;Q27),'Tabla general'!$L$4,IF(AND($C27=$D27,Q27=R27),'Tabla general'!$L$4,0))) + IF(AND($C27=Q27,$D27=R27),'Tabla general'!$L$5,0))</f>
        <v>0</v>
      </c>
      <c r="T27" s="38"/>
      <c r="U27" s="38"/>
      <c r="V27" s="30">
        <f>IF(AND($C27="",$D27=""),0,IF(AND($C27&gt;$D27,T27&gt;U27),'Tabla general'!$L$4,IF(AND($D27&gt;$C27,U27&gt;T27),'Tabla general'!$L$4,IF(AND($C27=$D27,T27=U27),'Tabla general'!$L$4,0))) + IF(AND($C27=T27,$D27=U27),'Tabla general'!$L$5,0))</f>
        <v>0</v>
      </c>
      <c r="W27" s="38"/>
      <c r="X27" s="38"/>
      <c r="Y27" s="31">
        <f>IF(AND($C27="",$D27=""),0,IF(AND($C27&gt;$D27,W27&gt;X27),'Tabla general'!$L$4,IF(AND($D27&gt;$C27,X27&gt;W27),'Tabla general'!$L$4,IF(AND($C27=$D27,W27=X27),'Tabla general'!$L$4,0))) + IF(AND($C27=W27,$D27=X27),'Tabla general'!$L$5,0))</f>
        <v>0</v>
      </c>
      <c r="Z27" s="38"/>
      <c r="AA27" s="38"/>
      <c r="AB27" s="32">
        <f>IF(AND($C27="",$D27=""),0,IF(AND($C27&gt;$D27,Z27&gt;AA27),'Tabla general'!$L$4,IF(AND($D27&gt;$C27,AA27&gt;Z27),'Tabla general'!$L$4,IF(AND($C27=$D27,Z27=AA27),'Tabla general'!$L$4,0))) + IF(AND($C27=Z27,$D27=AA27),'Tabla general'!$L$5,0))</f>
        <v>0</v>
      </c>
      <c r="AC27" s="38"/>
      <c r="AD27" s="38"/>
      <c r="AE27" s="33">
        <f>IF(AND($C27="",$D27=""),0,IF(AND($C27&gt;$D27,AC27&gt;AD27),'Tabla general'!$L$4,IF(AND($D27&gt;$C27,AD27&gt;AC27),'Tabla general'!$L$4,IF(AND($C27=$D27,AC27=AD27),'Tabla general'!$L$4,0))) + IF(AND($C27=AC27,$D27=AD27),'Tabla general'!$L$5,0))</f>
        <v>0</v>
      </c>
      <c r="AF27" s="38"/>
      <c r="AG27" s="38"/>
      <c r="AH27" s="34">
        <f>IF(AND($C27="",$D27=""),0,IF(AND($C27&gt;$D27,AF27&gt;AG27),'Tabla general'!$L$4,IF(AND($D27&gt;$C27,AG27&gt;AF27),'Tabla general'!$L$4,IF(AND($C27=$D27,AF27=AG27),'Tabla general'!$L$4,0))) + IF(AND($C27=AF27,$D27=AG27),'Tabla general'!$L$5,0))</f>
        <v>0</v>
      </c>
      <c r="AI27" s="38"/>
      <c r="AJ27" s="38"/>
      <c r="AK27" s="35">
        <f>IF(AND($C27="",$D27=""),0,IF(AND($C27&gt;$D27,AI27&gt;AJ27),'Tabla general'!$L$4,IF(AND($D27&gt;$C27,AJ27&gt;AI27),'Tabla general'!$L$4,IF(AND($C27=$D27,AI27=AJ27),'Tabla general'!$L$4,0))) + IF(AND($C27=AI27,$D27=AJ27),'Tabla general'!$L$5,0))</f>
        <v>0</v>
      </c>
      <c r="AL27" s="38"/>
      <c r="AM27" s="38"/>
      <c r="AN27" s="36">
        <f>IF(AND($C27="",$D27=""),0,IF(AND($C27&gt;$D27,AL27&gt;AM27),'Tabla general'!$L$4,IF(AND($D27&gt;$C27,AM27&gt;AL27),'Tabla general'!$L$4,IF(AND($C27=$D27,AL27=AM27),'Tabla general'!$L$4,0))) + IF(AND($C27=AL27,$D27=AM27),'Tabla general'!$L$5,0))</f>
        <v>0</v>
      </c>
      <c r="AO27" s="38"/>
      <c r="AP27" s="38"/>
      <c r="AQ27" s="37">
        <f>IF(AND($C27="",$D27=""),0,IF(AND($C27&gt;$D27,AO27&gt;AP27),'Tabla general'!$L$4,IF(AND($D27&gt;$C27,AP27&gt;AO27),'Tabla general'!$L$4,IF(AND($C27=$D27,AO27=AP27),'Tabla general'!$L$4,0))) + IF(AND($C27=AO27,$D27=AP27),'Tabla general'!$L$5,0))</f>
        <v>0</v>
      </c>
      <c r="AR27" s="38"/>
      <c r="AS27" s="38"/>
      <c r="AT27" s="34">
        <f>IF(AND($C27="",$D27=""),0,IF(AND($C27&gt;$D27,AR27&gt;AS27),'Tabla general'!$L$4,IF(AND($D27&gt;$C27,AS27&gt;AR27),'Tabla general'!$L$4,IF(AND($C27=$D27,AR27=AS27),'Tabla general'!$L$4,0))) + IF(AND($C27=AR27,$D27=AS27),'Tabla general'!$L$5,0))</f>
        <v>0</v>
      </c>
      <c r="AU27" s="38"/>
      <c r="AV27" s="38"/>
      <c r="AW27" s="35">
        <f>IF(AND($C27="",$D27=""),0,IF(AND($C27&gt;$D27,AU27&gt;AV27),'Tabla general'!$L$4,IF(AND($D27&gt;$C27,AV27&gt;AU27),'Tabla general'!$L$4,IF(AND($C27=$D27,AU27=AV27),'Tabla general'!$L$4,0))) + IF(AND($C27=AU27,$D27=AV27),'Tabla general'!$L$5,0))</f>
        <v>0</v>
      </c>
      <c r="AX27" s="48"/>
      <c r="AY27" s="46"/>
      <c r="AZ27" s="35">
        <f>IF(AND($C27="",$D27=""),0,IF(AND($C27&gt;$D27,AX27&gt;AY27),'Tabla general'!$L$4,IF(AND($D27&gt;$C27,AY27&gt;AX27),'Tabla general'!$L$4,IF(AND($C27=$D27,AX27=AY27),'Tabla general'!$L$4,0))) + IF(AND($C27=AX27,$D27=AY27),'Tabla general'!$L$5,0))</f>
        <v>0</v>
      </c>
    </row>
    <row r="28" spans="1:52">
      <c r="A28" s="2" t="s">
        <v>102</v>
      </c>
      <c r="B28" s="2" t="s">
        <v>99</v>
      </c>
      <c r="C28" s="49"/>
      <c r="D28" s="50"/>
      <c r="E28" s="38"/>
      <c r="F28" s="38"/>
      <c r="G28" s="39">
        <f>IF(AND($C28="",$D28=""),0,IF(AND($C28&gt;$D28,E28&gt;F28),'Tabla general'!$L$4,IF(AND($D28&gt;$C28,F28&gt;E28),'Tabla general'!$L$4,IF(AND($C28=$D28,E28=F28),'Tabla general'!$L$4,0))) + IF(AND($C28=E28,$D28=F28),'Tabla general'!$L$5,0))</f>
        <v>0</v>
      </c>
      <c r="H28" s="38"/>
      <c r="I28" s="38"/>
      <c r="J28" s="26">
        <f>IF(AND($C28="",$D28=""),0,IF(AND($C28&gt;$D28,H28&gt;I28),'Tabla general'!$L$4,IF(AND($D28&gt;$C28,I28&gt;H28),'Tabla general'!$L$4,IF(AND($C28=$D28,H28=I28),'Tabla general'!$L$4,0))) + IF(AND($C28=H28,$D28=I28),'Tabla general'!$L$5,0))</f>
        <v>0</v>
      </c>
      <c r="K28" s="38"/>
      <c r="L28" s="38"/>
      <c r="M28" s="27">
        <f>IF(AND($C28="",$D28=""),0,IF(AND($C28&gt;$D28,K28&gt;L28),'Tabla general'!$L$4,IF(AND($D28&gt;$C28,L28&gt;K28),'Tabla general'!$L$4,IF(AND($C28=$D28,K28=L28),'Tabla general'!$L$4,0))) + IF(AND($C28=K28,$D28=L28),'Tabla general'!$L$5,0))</f>
        <v>0</v>
      </c>
      <c r="N28" s="38"/>
      <c r="O28" s="38"/>
      <c r="P28" s="28">
        <f>IF(AND($C28="",$D28=""),0,IF(AND($C28&gt;$D28,N28&gt;O28),'Tabla general'!$L$4,IF(AND($D28&gt;$C28,O28&gt;N28),'Tabla general'!$L$4,IF(AND($C28=$D28,N28=O28),'Tabla general'!$L$4,0))) + IF(AND($C28=N28,$D28=O28),'Tabla general'!$L$5,0))</f>
        <v>0</v>
      </c>
      <c r="Q28" s="38"/>
      <c r="R28" s="38"/>
      <c r="S28" s="29">
        <f>IF(AND($C28="",$D28=""),0,IF(AND($C28&gt;$D28,Q28&gt;R28),'Tabla general'!$L$4,IF(AND($D28&gt;$C28,R28&gt;Q28),'Tabla general'!$L$4,IF(AND($C28=$D28,Q28=R28),'Tabla general'!$L$4,0))) + IF(AND($C28=Q28,$D28=R28),'Tabla general'!$L$5,0))</f>
        <v>0</v>
      </c>
      <c r="T28" s="38"/>
      <c r="U28" s="38"/>
      <c r="V28" s="30">
        <f>IF(AND($C28="",$D28=""),0,IF(AND($C28&gt;$D28,T28&gt;U28),'Tabla general'!$L$4,IF(AND($D28&gt;$C28,U28&gt;T28),'Tabla general'!$L$4,IF(AND($C28=$D28,T28=U28),'Tabla general'!$L$4,0))) + IF(AND($C28=T28,$D28=U28),'Tabla general'!$L$5,0))</f>
        <v>0</v>
      </c>
      <c r="W28" s="38"/>
      <c r="X28" s="38"/>
      <c r="Y28" s="31">
        <f>IF(AND($C28="",$D28=""),0,IF(AND($C28&gt;$D28,W28&gt;X28),'Tabla general'!$L$4,IF(AND($D28&gt;$C28,X28&gt;W28),'Tabla general'!$L$4,IF(AND($C28=$D28,W28=X28),'Tabla general'!$L$4,0))) + IF(AND($C28=W28,$D28=X28),'Tabla general'!$L$5,0))</f>
        <v>0</v>
      </c>
      <c r="Z28" s="38"/>
      <c r="AA28" s="38"/>
      <c r="AB28" s="32">
        <f>IF(AND($C28="",$D28=""),0,IF(AND($C28&gt;$D28,Z28&gt;AA28),'Tabla general'!$L$4,IF(AND($D28&gt;$C28,AA28&gt;Z28),'Tabla general'!$L$4,IF(AND($C28=$D28,Z28=AA28),'Tabla general'!$L$4,0))) + IF(AND($C28=Z28,$D28=AA28),'Tabla general'!$L$5,0))</f>
        <v>0</v>
      </c>
      <c r="AC28" s="38"/>
      <c r="AD28" s="38"/>
      <c r="AE28" s="33">
        <f>IF(AND($C28="",$D28=""),0,IF(AND($C28&gt;$D28,AC28&gt;AD28),'Tabla general'!$L$4,IF(AND($D28&gt;$C28,AD28&gt;AC28),'Tabla general'!$L$4,IF(AND($C28=$D28,AC28=AD28),'Tabla general'!$L$4,0))) + IF(AND($C28=AC28,$D28=AD28),'Tabla general'!$L$5,0))</f>
        <v>0</v>
      </c>
      <c r="AF28" s="38"/>
      <c r="AG28" s="38"/>
      <c r="AH28" s="34">
        <f>IF(AND($C28="",$D28=""),0,IF(AND($C28&gt;$D28,AF28&gt;AG28),'Tabla general'!$L$4,IF(AND($D28&gt;$C28,AG28&gt;AF28),'Tabla general'!$L$4,IF(AND($C28=$D28,AF28=AG28),'Tabla general'!$L$4,0))) + IF(AND($C28=AF28,$D28=AG28),'Tabla general'!$L$5,0))</f>
        <v>0</v>
      </c>
      <c r="AI28" s="38"/>
      <c r="AJ28" s="38"/>
      <c r="AK28" s="35">
        <f>IF(AND($C28="",$D28=""),0,IF(AND($C28&gt;$D28,AI28&gt;AJ28),'Tabla general'!$L$4,IF(AND($D28&gt;$C28,AJ28&gt;AI28),'Tabla general'!$L$4,IF(AND($C28=$D28,AI28=AJ28),'Tabla general'!$L$4,0))) + IF(AND($C28=AI28,$D28=AJ28),'Tabla general'!$L$5,0))</f>
        <v>0</v>
      </c>
      <c r="AL28" s="38"/>
      <c r="AM28" s="38"/>
      <c r="AN28" s="36">
        <f>IF(AND($C28="",$D28=""),0,IF(AND($C28&gt;$D28,AL28&gt;AM28),'Tabla general'!$L$4,IF(AND($D28&gt;$C28,AM28&gt;AL28),'Tabla general'!$L$4,IF(AND($C28=$D28,AL28=AM28),'Tabla general'!$L$4,0))) + IF(AND($C28=AL28,$D28=AM28),'Tabla general'!$L$5,0))</f>
        <v>0</v>
      </c>
      <c r="AO28" s="38"/>
      <c r="AP28" s="38"/>
      <c r="AQ28" s="37">
        <f>IF(AND($C28="",$D28=""),0,IF(AND($C28&gt;$D28,AO28&gt;AP28),'Tabla general'!$L$4,IF(AND($D28&gt;$C28,AP28&gt;AO28),'Tabla general'!$L$4,IF(AND($C28=$D28,AO28=AP28),'Tabla general'!$L$4,0))) + IF(AND($C28=AO28,$D28=AP28),'Tabla general'!$L$5,0))</f>
        <v>0</v>
      </c>
      <c r="AR28" s="38"/>
      <c r="AS28" s="38"/>
      <c r="AT28" s="34">
        <f>IF(AND($C28="",$D28=""),0,IF(AND($C28&gt;$D28,AR28&gt;AS28),'Tabla general'!$L$4,IF(AND($D28&gt;$C28,AS28&gt;AR28),'Tabla general'!$L$4,IF(AND($C28=$D28,AR28=AS28),'Tabla general'!$L$4,0))) + IF(AND($C28=AR28,$D28=AS28),'Tabla general'!$L$5,0))</f>
        <v>0</v>
      </c>
      <c r="AU28" s="38"/>
      <c r="AV28" s="38"/>
      <c r="AW28" s="35">
        <f>IF(AND($C28="",$D28=""),0,IF(AND($C28&gt;$D28,AU28&gt;AV28),'Tabla general'!$L$4,IF(AND($D28&gt;$C28,AV28&gt;AU28),'Tabla general'!$L$4,IF(AND($C28=$D28,AU28=AV28),'Tabla general'!$L$4,0))) + IF(AND($C28=AU28,$D28=AV28),'Tabla general'!$L$5,0))</f>
        <v>0</v>
      </c>
      <c r="AX28" s="48"/>
      <c r="AY28" s="46"/>
      <c r="AZ28" s="35">
        <f>IF(AND($C28="",$D28=""),0,IF(AND($C28&gt;$D28,AX28&gt;AY28),'Tabla general'!$L$4,IF(AND($D28&gt;$C28,AY28&gt;AX28),'Tabla general'!$L$4,IF(AND($C28=$D28,AX28=AY28),'Tabla general'!$L$4,0))) + IF(AND($C28=AX28,$D28=AY28),'Tabla general'!$L$5,0))</f>
        <v>0</v>
      </c>
    </row>
    <row r="29" spans="1:52">
      <c r="A29" s="2" t="s">
        <v>96</v>
      </c>
      <c r="B29" s="2" t="s">
        <v>104</v>
      </c>
      <c r="C29" s="49"/>
      <c r="D29" s="50"/>
      <c r="E29" s="38"/>
      <c r="F29" s="38"/>
      <c r="G29" s="39">
        <f>IF(AND($C29="",$D29=""),0,IF(AND($C29&gt;$D29,E29&gt;F29),'Tabla general'!$L$4,IF(AND($D29&gt;$C29,F29&gt;E29),'Tabla general'!$L$4,IF(AND($C29=$D29,E29=F29),'Tabla general'!$L$4,0))) + IF(AND($C29=E29,$D29=F29),'Tabla general'!$L$5,0))</f>
        <v>0</v>
      </c>
      <c r="H29" s="38"/>
      <c r="I29" s="38"/>
      <c r="J29" s="26">
        <f>IF(AND($C29="",$D29=""),0,IF(AND($C29&gt;$D29,H29&gt;I29),'Tabla general'!$L$4,IF(AND($D29&gt;$C29,I29&gt;H29),'Tabla general'!$L$4,IF(AND($C29=$D29,H29=I29),'Tabla general'!$L$4,0))) + IF(AND($C29=H29,$D29=I29),'Tabla general'!$L$5,0))</f>
        <v>0</v>
      </c>
      <c r="K29" s="38"/>
      <c r="L29" s="38"/>
      <c r="M29" s="27">
        <f>IF(AND($C29="",$D29=""),0,IF(AND($C29&gt;$D29,K29&gt;L29),'Tabla general'!$L$4,IF(AND($D29&gt;$C29,L29&gt;K29),'Tabla general'!$L$4,IF(AND($C29=$D29,K29=L29),'Tabla general'!$L$4,0))) + IF(AND($C29=K29,$D29=L29),'Tabla general'!$L$5,0))</f>
        <v>0</v>
      </c>
      <c r="N29" s="38"/>
      <c r="O29" s="38"/>
      <c r="P29" s="28">
        <f>IF(AND($C29="",$D29=""),0,IF(AND($C29&gt;$D29,N29&gt;O29),'Tabla general'!$L$4,IF(AND($D29&gt;$C29,O29&gt;N29),'Tabla general'!$L$4,IF(AND($C29=$D29,N29=O29),'Tabla general'!$L$4,0))) + IF(AND($C29=N29,$D29=O29),'Tabla general'!$L$5,0))</f>
        <v>0</v>
      </c>
      <c r="Q29" s="38"/>
      <c r="R29" s="38"/>
      <c r="S29" s="29">
        <f>IF(AND($C29="",$D29=""),0,IF(AND($C29&gt;$D29,Q29&gt;R29),'Tabla general'!$L$4,IF(AND($D29&gt;$C29,R29&gt;Q29),'Tabla general'!$L$4,IF(AND($C29=$D29,Q29=R29),'Tabla general'!$L$4,0))) + IF(AND($C29=Q29,$D29=R29),'Tabla general'!$L$5,0))</f>
        <v>0</v>
      </c>
      <c r="T29" s="38"/>
      <c r="U29" s="38"/>
      <c r="V29" s="30">
        <f>IF(AND($C29="",$D29=""),0,IF(AND($C29&gt;$D29,T29&gt;U29),'Tabla general'!$L$4,IF(AND($D29&gt;$C29,U29&gt;T29),'Tabla general'!$L$4,IF(AND($C29=$D29,T29=U29),'Tabla general'!$L$4,0))) + IF(AND($C29=T29,$D29=U29),'Tabla general'!$L$5,0))</f>
        <v>0</v>
      </c>
      <c r="W29" s="38"/>
      <c r="X29" s="38"/>
      <c r="Y29" s="31">
        <f>IF(AND($C29="",$D29=""),0,IF(AND($C29&gt;$D29,W29&gt;X29),'Tabla general'!$L$4,IF(AND($D29&gt;$C29,X29&gt;W29),'Tabla general'!$L$4,IF(AND($C29=$D29,W29=X29),'Tabla general'!$L$4,0))) + IF(AND($C29=W29,$D29=X29),'Tabla general'!$L$5,0))</f>
        <v>0</v>
      </c>
      <c r="Z29" s="38"/>
      <c r="AA29" s="38"/>
      <c r="AB29" s="32">
        <f>IF(AND($C29="",$D29=""),0,IF(AND($C29&gt;$D29,Z29&gt;AA29),'Tabla general'!$L$4,IF(AND($D29&gt;$C29,AA29&gt;Z29),'Tabla general'!$L$4,IF(AND($C29=$D29,Z29=AA29),'Tabla general'!$L$4,0))) + IF(AND($C29=Z29,$D29=AA29),'Tabla general'!$L$5,0))</f>
        <v>0</v>
      </c>
      <c r="AC29" s="38"/>
      <c r="AD29" s="38"/>
      <c r="AE29" s="33">
        <f>IF(AND($C29="",$D29=""),0,IF(AND($C29&gt;$D29,AC29&gt;AD29),'Tabla general'!$L$4,IF(AND($D29&gt;$C29,AD29&gt;AC29),'Tabla general'!$L$4,IF(AND($C29=$D29,AC29=AD29),'Tabla general'!$L$4,0))) + IF(AND($C29=AC29,$D29=AD29),'Tabla general'!$L$5,0))</f>
        <v>0</v>
      </c>
      <c r="AF29" s="38"/>
      <c r="AG29" s="38"/>
      <c r="AH29" s="34">
        <f>IF(AND($C29="",$D29=""),0,IF(AND($C29&gt;$D29,AF29&gt;AG29),'Tabla general'!$L$4,IF(AND($D29&gt;$C29,AG29&gt;AF29),'Tabla general'!$L$4,IF(AND($C29=$D29,AF29=AG29),'Tabla general'!$L$4,0))) + IF(AND($C29=AF29,$D29=AG29),'Tabla general'!$L$5,0))</f>
        <v>0</v>
      </c>
      <c r="AI29" s="38"/>
      <c r="AJ29" s="38"/>
      <c r="AK29" s="35">
        <f>IF(AND($C29="",$D29=""),0,IF(AND($C29&gt;$D29,AI29&gt;AJ29),'Tabla general'!$L$4,IF(AND($D29&gt;$C29,AJ29&gt;AI29),'Tabla general'!$L$4,IF(AND($C29=$D29,AI29=AJ29),'Tabla general'!$L$4,0))) + IF(AND($C29=AI29,$D29=AJ29),'Tabla general'!$L$5,0))</f>
        <v>0</v>
      </c>
      <c r="AL29" s="38"/>
      <c r="AM29" s="38"/>
      <c r="AN29" s="36">
        <f>IF(AND($C29="",$D29=""),0,IF(AND($C29&gt;$D29,AL29&gt;AM29),'Tabla general'!$L$4,IF(AND($D29&gt;$C29,AM29&gt;AL29),'Tabla general'!$L$4,IF(AND($C29=$D29,AL29=AM29),'Tabla general'!$L$4,0))) + IF(AND($C29=AL29,$D29=AM29),'Tabla general'!$L$5,0))</f>
        <v>0</v>
      </c>
      <c r="AO29" s="38"/>
      <c r="AP29" s="38"/>
      <c r="AQ29" s="37">
        <f>IF(AND($C29="",$D29=""),0,IF(AND($C29&gt;$D29,AO29&gt;AP29),'Tabla general'!$L$4,IF(AND($D29&gt;$C29,AP29&gt;AO29),'Tabla general'!$L$4,IF(AND($C29=$D29,AO29=AP29),'Tabla general'!$L$4,0))) + IF(AND($C29=AO29,$D29=AP29),'Tabla general'!$L$5,0))</f>
        <v>0</v>
      </c>
      <c r="AR29" s="38"/>
      <c r="AS29" s="38"/>
      <c r="AT29" s="34">
        <f>IF(AND($C29="",$D29=""),0,IF(AND($C29&gt;$D29,AR29&gt;AS29),'Tabla general'!$L$4,IF(AND($D29&gt;$C29,AS29&gt;AR29),'Tabla general'!$L$4,IF(AND($C29=$D29,AR29=AS29),'Tabla general'!$L$4,0))) + IF(AND($C29=AR29,$D29=AS29),'Tabla general'!$L$5,0))</f>
        <v>0</v>
      </c>
      <c r="AU29" s="38"/>
      <c r="AV29" s="38"/>
      <c r="AW29" s="35">
        <f>IF(AND($C29="",$D29=""),0,IF(AND($C29&gt;$D29,AU29&gt;AV29),'Tabla general'!$L$4,IF(AND($D29&gt;$C29,AV29&gt;AU29),'Tabla general'!$L$4,IF(AND($C29=$D29,AU29=AV29),'Tabla general'!$L$4,0))) + IF(AND($C29=AU29,$D29=AV29),'Tabla general'!$L$5,0))</f>
        <v>0</v>
      </c>
      <c r="AX29" s="48"/>
      <c r="AY29" s="46"/>
      <c r="AZ29" s="35">
        <f>IF(AND($C29="",$D29=""),0,IF(AND($C29&gt;$D29,AX29&gt;AY29),'Tabla general'!$L$4,IF(AND($D29&gt;$C29,AY29&gt;AX29),'Tabla general'!$L$4,IF(AND($C29=$D29,AX29=AY29),'Tabla general'!$L$4,0))) + IF(AND($C29=AX29,$D29=AY29),'Tabla general'!$L$5,0))</f>
        <v>0</v>
      </c>
    </row>
    <row r="30" spans="1:52">
      <c r="A30" s="2" t="s">
        <v>98</v>
      </c>
      <c r="B30" s="2" t="s">
        <v>107</v>
      </c>
      <c r="C30" s="49"/>
      <c r="D30" s="50"/>
      <c r="E30" s="38"/>
      <c r="F30" s="38"/>
      <c r="G30" s="39">
        <f>IF(AND($C30="",$D30=""),0,IF(AND($C30&gt;$D30,E30&gt;F30),'Tabla general'!$L$4,IF(AND($D30&gt;$C30,F30&gt;E30),'Tabla general'!$L$4,IF(AND($C30=$D30,E30=F30),'Tabla general'!$L$4,0))) + IF(AND($C30=E30,$D30=F30),'Tabla general'!$L$5,0))</f>
        <v>0</v>
      </c>
      <c r="H30" s="38"/>
      <c r="I30" s="38"/>
      <c r="J30" s="26">
        <f>IF(AND($C30="",$D30=""),0,IF(AND($C30&gt;$D30,H30&gt;I30),'Tabla general'!$L$4,IF(AND($D30&gt;$C30,I30&gt;H30),'Tabla general'!$L$4,IF(AND($C30=$D30,H30=I30),'Tabla general'!$L$4,0))) + IF(AND($C30=H30,$D30=I30),'Tabla general'!$L$5,0))</f>
        <v>0</v>
      </c>
      <c r="K30" s="38"/>
      <c r="L30" s="38"/>
      <c r="M30" s="27">
        <f>IF(AND($C30="",$D30=""),0,IF(AND($C30&gt;$D30,K30&gt;L30),'Tabla general'!$L$4,IF(AND($D30&gt;$C30,L30&gt;K30),'Tabla general'!$L$4,IF(AND($C30=$D30,K30=L30),'Tabla general'!$L$4,0))) + IF(AND($C30=K30,$D30=L30),'Tabla general'!$L$5,0))</f>
        <v>0</v>
      </c>
      <c r="N30" s="38"/>
      <c r="O30" s="38"/>
      <c r="P30" s="28">
        <f>IF(AND($C30="",$D30=""),0,IF(AND($C30&gt;$D30,N30&gt;O30),'Tabla general'!$L$4,IF(AND($D30&gt;$C30,O30&gt;N30),'Tabla general'!$L$4,IF(AND($C30=$D30,N30=O30),'Tabla general'!$L$4,0))) + IF(AND($C30=N30,$D30=O30),'Tabla general'!$L$5,0))</f>
        <v>0</v>
      </c>
      <c r="Q30" s="38"/>
      <c r="R30" s="38"/>
      <c r="S30" s="29">
        <f>IF(AND($C30="",$D30=""),0,IF(AND($C30&gt;$D30,Q30&gt;R30),'Tabla general'!$L$4,IF(AND($D30&gt;$C30,R30&gt;Q30),'Tabla general'!$L$4,IF(AND($C30=$D30,Q30=R30),'Tabla general'!$L$4,0))) + IF(AND($C30=Q30,$D30=R30),'Tabla general'!$L$5,0))</f>
        <v>0</v>
      </c>
      <c r="T30" s="38"/>
      <c r="U30" s="38"/>
      <c r="V30" s="30">
        <f>IF(AND($C30="",$D30=""),0,IF(AND($C30&gt;$D30,T30&gt;U30),'Tabla general'!$L$4,IF(AND($D30&gt;$C30,U30&gt;T30),'Tabla general'!$L$4,IF(AND($C30=$D30,T30=U30),'Tabla general'!$L$4,0))) + IF(AND($C30=T30,$D30=U30),'Tabla general'!$L$5,0))</f>
        <v>0</v>
      </c>
      <c r="W30" s="38"/>
      <c r="X30" s="38"/>
      <c r="Y30" s="31">
        <f>IF(AND($C30="",$D30=""),0,IF(AND($C30&gt;$D30,W30&gt;X30),'Tabla general'!$L$4,IF(AND($D30&gt;$C30,X30&gt;W30),'Tabla general'!$L$4,IF(AND($C30=$D30,W30=X30),'Tabla general'!$L$4,0))) + IF(AND($C30=W30,$D30=X30),'Tabla general'!$L$5,0))</f>
        <v>0</v>
      </c>
      <c r="Z30" s="38"/>
      <c r="AA30" s="38"/>
      <c r="AB30" s="32">
        <f>IF(AND($C30="",$D30=""),0,IF(AND($C30&gt;$D30,Z30&gt;AA30),'Tabla general'!$L$4,IF(AND($D30&gt;$C30,AA30&gt;Z30),'Tabla general'!$L$4,IF(AND($C30=$D30,Z30=AA30),'Tabla general'!$L$4,0))) + IF(AND($C30=Z30,$D30=AA30),'Tabla general'!$L$5,0))</f>
        <v>0</v>
      </c>
      <c r="AC30" s="38"/>
      <c r="AD30" s="38"/>
      <c r="AE30" s="33">
        <f>IF(AND($C30="",$D30=""),0,IF(AND($C30&gt;$D30,AC30&gt;AD30),'Tabla general'!$L$4,IF(AND($D30&gt;$C30,AD30&gt;AC30),'Tabla general'!$L$4,IF(AND($C30=$D30,AC30=AD30),'Tabla general'!$L$4,0))) + IF(AND($C30=AC30,$D30=AD30),'Tabla general'!$L$5,0))</f>
        <v>0</v>
      </c>
      <c r="AF30" s="38"/>
      <c r="AG30" s="38"/>
      <c r="AH30" s="34">
        <f>IF(AND($C30="",$D30=""),0,IF(AND($C30&gt;$D30,AF30&gt;AG30),'Tabla general'!$L$4,IF(AND($D30&gt;$C30,AG30&gt;AF30),'Tabla general'!$L$4,IF(AND($C30=$D30,AF30=AG30),'Tabla general'!$L$4,0))) + IF(AND($C30=AF30,$D30=AG30),'Tabla general'!$L$5,0))</f>
        <v>0</v>
      </c>
      <c r="AI30" s="38"/>
      <c r="AJ30" s="38"/>
      <c r="AK30" s="35">
        <f>IF(AND($C30="",$D30=""),0,IF(AND($C30&gt;$D30,AI30&gt;AJ30),'Tabla general'!$L$4,IF(AND($D30&gt;$C30,AJ30&gt;AI30),'Tabla general'!$L$4,IF(AND($C30=$D30,AI30=AJ30),'Tabla general'!$L$4,0))) + IF(AND($C30=AI30,$D30=AJ30),'Tabla general'!$L$5,0))</f>
        <v>0</v>
      </c>
      <c r="AL30" s="38"/>
      <c r="AM30" s="38"/>
      <c r="AN30" s="36">
        <f>IF(AND($C30="",$D30=""),0,IF(AND($C30&gt;$D30,AL30&gt;AM30),'Tabla general'!$L$4,IF(AND($D30&gt;$C30,AM30&gt;AL30),'Tabla general'!$L$4,IF(AND($C30=$D30,AL30=AM30),'Tabla general'!$L$4,0))) + IF(AND($C30=AL30,$D30=AM30),'Tabla general'!$L$5,0))</f>
        <v>0</v>
      </c>
      <c r="AO30" s="38"/>
      <c r="AP30" s="38"/>
      <c r="AQ30" s="37">
        <f>IF(AND($C30="",$D30=""),0,IF(AND($C30&gt;$D30,AO30&gt;AP30),'Tabla general'!$L$4,IF(AND($D30&gt;$C30,AP30&gt;AO30),'Tabla general'!$L$4,IF(AND($C30=$D30,AO30=AP30),'Tabla general'!$L$4,0))) + IF(AND($C30=AO30,$D30=AP30),'Tabla general'!$L$5,0))</f>
        <v>0</v>
      </c>
      <c r="AR30" s="38"/>
      <c r="AS30" s="38"/>
      <c r="AT30" s="34">
        <f>IF(AND($C30="",$D30=""),0,IF(AND($C30&gt;$D30,AR30&gt;AS30),'Tabla general'!$L$4,IF(AND($D30&gt;$C30,AS30&gt;AR30),'Tabla general'!$L$4,IF(AND($C30=$D30,AR30=AS30),'Tabla general'!$L$4,0))) + IF(AND($C30=AR30,$D30=AS30),'Tabla general'!$L$5,0))</f>
        <v>0</v>
      </c>
      <c r="AU30" s="38"/>
      <c r="AV30" s="38"/>
      <c r="AW30" s="35">
        <f>IF(AND($C30="",$D30=""),0,IF(AND($C30&gt;$D30,AU30&gt;AV30),'Tabla general'!$L$4,IF(AND($D30&gt;$C30,AV30&gt;AU30),'Tabla general'!$L$4,IF(AND($C30=$D30,AU30=AV30),'Tabla general'!$L$4,0))) + IF(AND($C30=AU30,$D30=AV30),'Tabla general'!$L$5,0))</f>
        <v>0</v>
      </c>
      <c r="AX30" s="8"/>
      <c r="AY30" s="46"/>
      <c r="AZ30" s="35">
        <f>IF(AND($C30="",$D30=""),0,IF(AND($C30&gt;$D30,AX30&gt;AY30),'Tabla general'!$L$4,IF(AND($D30&gt;$C30,AY30&gt;AX30),'Tabla general'!$L$4,IF(AND($C30=$D30,AX30=AY30),'Tabla general'!$L$4,0))) + IF(AND($C30=AX30,$D30=AY30),'Tabla general'!$L$5,0))</f>
        <v>0</v>
      </c>
    </row>
    <row r="31" spans="1:52">
      <c r="A31" s="2"/>
      <c r="B31" s="2"/>
      <c r="C31" s="2"/>
      <c r="D31" s="2"/>
      <c r="E31" s="160" t="s">
        <v>36</v>
      </c>
      <c r="F31" s="161"/>
      <c r="G31" s="40">
        <f>SUM(G$6:G$30,G$4)</f>
        <v>0</v>
      </c>
      <c r="H31" s="41"/>
      <c r="I31" s="41"/>
      <c r="J31" s="11">
        <f>SUM(J$6:J$30,J$4)</f>
        <v>0</v>
      </c>
      <c r="K31" s="42"/>
      <c r="L31" s="11"/>
      <c r="M31" s="11">
        <f>SUM(M$6:M$30,M$4)</f>
        <v>0</v>
      </c>
      <c r="N31" s="11"/>
      <c r="O31" s="11"/>
      <c r="P31" s="11">
        <f>SUM(P$6:P$30,P$4)</f>
        <v>0</v>
      </c>
      <c r="Q31" s="11"/>
      <c r="R31" s="11"/>
      <c r="S31" s="11">
        <f>SUM(S$6:S$30,S$4)</f>
        <v>0</v>
      </c>
      <c r="T31" s="11"/>
      <c r="U31" s="11"/>
      <c r="V31" s="11">
        <f>SUM(V$6:V$30,V$4)</f>
        <v>0</v>
      </c>
      <c r="W31" s="11"/>
      <c r="X31" s="11"/>
      <c r="Y31" s="11">
        <f>SUM(Y$6:Y$30,Y$4)</f>
        <v>0</v>
      </c>
      <c r="Z31" s="11"/>
      <c r="AA31" s="11"/>
      <c r="AB31" s="11">
        <f>SUM(AB$6:AB$30,AB$4)</f>
        <v>0</v>
      </c>
      <c r="AC31" s="11"/>
      <c r="AD31" s="11"/>
      <c r="AE31" s="11">
        <f>SUM(AE$6:AE$30,AE$4)</f>
        <v>0</v>
      </c>
      <c r="AF31" s="11"/>
      <c r="AG31" s="11"/>
      <c r="AH31" s="11">
        <f>SUM(AH$6:AH$30,AH$4)</f>
        <v>0</v>
      </c>
      <c r="AI31" s="11"/>
      <c r="AJ31" s="11"/>
      <c r="AK31" s="11">
        <f>SUM(AK$6:AK$30,AK$4)</f>
        <v>0</v>
      </c>
      <c r="AL31" s="11"/>
      <c r="AM31" s="11"/>
      <c r="AN31" s="11">
        <f>SUM(AN$6:AN$30,AN$4)</f>
        <v>0</v>
      </c>
      <c r="AO31" s="11"/>
      <c r="AP31" s="11"/>
      <c r="AQ31" s="11">
        <f>SUM(AQ$6:AQ$30,AQ$4)</f>
        <v>0</v>
      </c>
      <c r="AR31" s="11"/>
      <c r="AS31" s="11"/>
      <c r="AT31" s="11">
        <f>SUM(AT$6:AT$30,AT$4)</f>
        <v>0</v>
      </c>
      <c r="AU31" s="11"/>
      <c r="AV31" s="11"/>
      <c r="AW31" s="11">
        <f>SUM(AW$6:AW$30,AW$4)</f>
        <v>0</v>
      </c>
      <c r="AX31" s="2"/>
      <c r="AY31" s="2"/>
      <c r="AZ31" s="2">
        <f>SUM(AZ$6:AZ$30,AZ$4)</f>
        <v>0</v>
      </c>
    </row>
  </sheetData>
  <mergeCells count="54">
    <mergeCell ref="H3:I3"/>
    <mergeCell ref="K3:L3"/>
    <mergeCell ref="N3:O3"/>
    <mergeCell ref="Q3:R3"/>
    <mergeCell ref="AR3:AS3"/>
    <mergeCell ref="AU3:AV3"/>
    <mergeCell ref="AX3:AY3"/>
    <mergeCell ref="C4:D4"/>
    <mergeCell ref="E4:F4"/>
    <mergeCell ref="H4:I4"/>
    <mergeCell ref="K4:L4"/>
    <mergeCell ref="N4:O4"/>
    <mergeCell ref="T3:U3"/>
    <mergeCell ref="W3:X3"/>
    <mergeCell ref="Z3:AA3"/>
    <mergeCell ref="AC3:AD3"/>
    <mergeCell ref="AF3:AG3"/>
    <mergeCell ref="AI3:AJ3"/>
    <mergeCell ref="C3:D3"/>
    <mergeCell ref="E3:F3"/>
    <mergeCell ref="AR4:AS4"/>
    <mergeCell ref="AU4:AV4"/>
    <mergeCell ref="AX4:AY4"/>
    <mergeCell ref="Q4:R4"/>
    <mergeCell ref="T4:U4"/>
    <mergeCell ref="W4:X4"/>
    <mergeCell ref="Z4:AA4"/>
    <mergeCell ref="AC4:AD4"/>
    <mergeCell ref="AF4:AG4"/>
    <mergeCell ref="AR5:AS5"/>
    <mergeCell ref="AU5:AV5"/>
    <mergeCell ref="AX5:AY5"/>
    <mergeCell ref="Q5:R5"/>
    <mergeCell ref="T5:U5"/>
    <mergeCell ref="W5:X5"/>
    <mergeCell ref="Z5:AA5"/>
    <mergeCell ref="AC5:AD5"/>
    <mergeCell ref="AF5:AG5"/>
    <mergeCell ref="E31:F31"/>
    <mergeCell ref="A1:D1"/>
    <mergeCell ref="AI5:AJ5"/>
    <mergeCell ref="AL5:AM5"/>
    <mergeCell ref="AO5:AP5"/>
    <mergeCell ref="A5:B5"/>
    <mergeCell ref="C5:D5"/>
    <mergeCell ref="E5:F5"/>
    <mergeCell ref="H5:I5"/>
    <mergeCell ref="K5:L5"/>
    <mergeCell ref="N5:O5"/>
    <mergeCell ref="AI4:AJ4"/>
    <mergeCell ref="AL4:AM4"/>
    <mergeCell ref="AO4:AP4"/>
    <mergeCell ref="AL3:AM3"/>
    <mergeCell ref="AO3:AP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4"/>
  <sheetViews>
    <sheetView workbookViewId="0">
      <pane xSplit="4" topLeftCell="E1" activePane="topRight" state="frozen"/>
      <selection pane="topRight" sqref="A1:D1"/>
    </sheetView>
  </sheetViews>
  <sheetFormatPr defaultColWidth="11.42578125" defaultRowHeight="15"/>
  <cols>
    <col min="1" max="1" width="19.5703125" customWidth="1"/>
    <col min="2" max="2" width="18.140625" bestFit="1" customWidth="1"/>
    <col min="5" max="43" width="11.42578125" style="43" customWidth="1"/>
    <col min="44" max="49" width="11.42578125" style="43"/>
    <col min="50" max="52" width="11.42578125" customWidth="1"/>
  </cols>
  <sheetData>
    <row r="1" spans="1:52" ht="28.9" customHeight="1">
      <c r="A1" s="115" t="s">
        <v>108</v>
      </c>
      <c r="B1" s="116"/>
      <c r="C1" s="116"/>
      <c r="D1" s="117"/>
      <c r="E1" s="10"/>
      <c r="F1" s="10"/>
      <c r="G1" s="10"/>
      <c r="H1" s="10"/>
      <c r="I1" s="10"/>
      <c r="J1" s="10"/>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2"/>
      <c r="AY1" s="2"/>
      <c r="AZ1" s="2"/>
    </row>
    <row r="2" spans="1:52">
      <c r="A2" s="2"/>
      <c r="B2" s="2" t="s">
        <v>64</v>
      </c>
      <c r="C2" s="2"/>
      <c r="D2" s="6"/>
      <c r="E2" s="52"/>
      <c r="F2" s="53"/>
      <c r="G2" s="54">
        <v>1</v>
      </c>
      <c r="H2" s="55"/>
      <c r="I2" s="56"/>
      <c r="J2" s="57">
        <v>2</v>
      </c>
      <c r="K2" s="58"/>
      <c r="L2" s="59"/>
      <c r="M2" s="60">
        <v>3</v>
      </c>
      <c r="N2" s="61"/>
      <c r="O2" s="62"/>
      <c r="P2" s="63">
        <v>4</v>
      </c>
      <c r="Q2" s="64"/>
      <c r="R2" s="65"/>
      <c r="S2" s="66">
        <v>5</v>
      </c>
      <c r="T2" s="67"/>
      <c r="U2" s="68"/>
      <c r="V2" s="69">
        <v>6</v>
      </c>
      <c r="W2" s="70">
        <v>7</v>
      </c>
      <c r="X2" s="71"/>
      <c r="Y2" s="72"/>
      <c r="Z2" s="73"/>
      <c r="AA2" s="74"/>
      <c r="AB2" s="75">
        <v>7</v>
      </c>
      <c r="AC2" s="76"/>
      <c r="AD2" s="77"/>
      <c r="AE2" s="78">
        <v>8</v>
      </c>
      <c r="AF2" s="79"/>
      <c r="AG2" s="80"/>
      <c r="AH2" s="81">
        <v>9</v>
      </c>
      <c r="AI2" s="82"/>
      <c r="AJ2" s="83"/>
      <c r="AK2" s="84">
        <v>10</v>
      </c>
      <c r="AL2" s="85"/>
      <c r="AM2" s="86"/>
      <c r="AN2" s="87">
        <v>11</v>
      </c>
      <c r="AO2" s="88"/>
      <c r="AP2" s="89"/>
      <c r="AQ2" s="90">
        <v>12</v>
      </c>
      <c r="AR2" s="79"/>
      <c r="AS2" s="80"/>
      <c r="AT2" s="81">
        <v>13</v>
      </c>
      <c r="AU2" s="91"/>
      <c r="AV2" s="91"/>
      <c r="AW2" s="91">
        <v>14</v>
      </c>
      <c r="AX2" s="92"/>
      <c r="AY2" s="92"/>
      <c r="AZ2" s="92">
        <v>15</v>
      </c>
    </row>
    <row r="3" spans="1:52">
      <c r="A3" s="2"/>
      <c r="B3" s="2" t="s">
        <v>65</v>
      </c>
      <c r="C3" s="133" t="s">
        <v>66</v>
      </c>
      <c r="D3" s="134"/>
      <c r="E3" s="135" t="str">
        <f>VLOOKUP(G$2,[0]!participantes,2)</f>
        <v>Noemi Padilla</v>
      </c>
      <c r="F3" s="135"/>
      <c r="G3" s="112" t="s">
        <v>59</v>
      </c>
      <c r="H3" s="138" t="str">
        <f>VLOOKUP(J$2,[0]!participantes,2)</f>
        <v>Fabricio Ruíz</v>
      </c>
      <c r="I3" s="139"/>
      <c r="J3" s="12" t="s">
        <v>59</v>
      </c>
      <c r="K3" s="140" t="str">
        <f>VLOOKUP(M$2,[0]!participantes,2)</f>
        <v>Adrian Molina</v>
      </c>
      <c r="L3" s="141"/>
      <c r="M3" s="13" t="s">
        <v>59</v>
      </c>
      <c r="N3" s="142" t="str">
        <f>VLOOKUP(P$2,[0]!participantes,2)</f>
        <v>Ezequiel Manzo</v>
      </c>
      <c r="O3" s="143"/>
      <c r="P3" s="14" t="s">
        <v>59</v>
      </c>
      <c r="Q3" s="162" t="str">
        <f>VLOOKUP(S$2,[0]!participantes,2)</f>
        <v>Ricardo Guerra</v>
      </c>
      <c r="R3" s="163"/>
      <c r="S3" s="15" t="s">
        <v>59</v>
      </c>
      <c r="T3" s="164" t="str">
        <f>VLOOKUP(V$2,[0]!participantes,2)</f>
        <v>Mario</v>
      </c>
      <c r="U3" s="165"/>
      <c r="V3" s="16" t="s">
        <v>59</v>
      </c>
      <c r="W3" s="166" t="str">
        <f>VLOOKUP(W$2,[0]!participantes,2)</f>
        <v>Alejandro Cruz</v>
      </c>
      <c r="X3" s="167"/>
      <c r="Y3" s="17" t="s">
        <v>59</v>
      </c>
      <c r="Z3" s="168" t="str">
        <f>VLOOKUP(AB$2,[0]!participantes,2)</f>
        <v>Alejandro Cruz</v>
      </c>
      <c r="AA3" s="169"/>
      <c r="AB3" s="18" t="s">
        <v>59</v>
      </c>
      <c r="AC3" s="156" t="str">
        <f>VLOOKUP(AE$2,[0]!participantes,2)</f>
        <v>Antonio Lopez</v>
      </c>
      <c r="AD3" s="157"/>
      <c r="AE3" s="19" t="s">
        <v>59</v>
      </c>
      <c r="AF3" s="126" t="str">
        <f>VLOOKUP(AH$2,[0]!participantes,2)</f>
        <v>Christian</v>
      </c>
      <c r="AG3" s="127"/>
      <c r="AH3" s="20" t="s">
        <v>59</v>
      </c>
      <c r="AI3" s="158" t="str">
        <f>VLOOKUP(AK$2,[0]!participantes,2)</f>
        <v>Kevin Salomón</v>
      </c>
      <c r="AJ3" s="159"/>
      <c r="AK3" s="110" t="s">
        <v>59</v>
      </c>
      <c r="AL3" s="122" t="str">
        <f>VLOOKUP(AN$2,[0]!participantes,2)</f>
        <v>Emmanuel</v>
      </c>
      <c r="AM3" s="123"/>
      <c r="AN3" s="21" t="s">
        <v>59</v>
      </c>
      <c r="AO3" s="124" t="str">
        <f>VLOOKUP(AQ$2,[0]!participantes,2)</f>
        <v>Miguel Villafuerte</v>
      </c>
      <c r="AP3" s="125"/>
      <c r="AQ3" s="22" t="s">
        <v>59</v>
      </c>
      <c r="AR3" s="126" t="str">
        <f>VLOOKUP(AT$2,[0]!participantes,2)</f>
        <v>David Perez</v>
      </c>
      <c r="AS3" s="127"/>
      <c r="AT3" s="20" t="s">
        <v>59</v>
      </c>
      <c r="AU3" s="118" t="str">
        <f>VLOOKUP(AW$2,[0]!participantes,2)</f>
        <v>-</v>
      </c>
      <c r="AV3" s="118"/>
      <c r="AW3" s="23" t="s">
        <v>59</v>
      </c>
      <c r="AX3" s="118" t="str">
        <f>VLOOKUP(AZ$2,[0]!participantes,2)</f>
        <v>-</v>
      </c>
      <c r="AY3" s="118"/>
      <c r="AZ3" s="3" t="s">
        <v>59</v>
      </c>
    </row>
    <row r="4" spans="1:52" ht="15.75" thickBot="1">
      <c r="A4" s="4"/>
      <c r="B4" s="4" t="s">
        <v>67</v>
      </c>
      <c r="C4" s="136"/>
      <c r="D4" s="137"/>
      <c r="E4" s="128">
        <f>SUM(E6:F13)</f>
        <v>0</v>
      </c>
      <c r="F4" s="129"/>
      <c r="G4" s="24">
        <f>IF($C$4&lt;&gt;"",IF(E4=$C$4,'Tabla general'!$L$6,0), 0)</f>
        <v>0</v>
      </c>
      <c r="H4" s="128">
        <f>SUM(H6:I13)</f>
        <v>0</v>
      </c>
      <c r="I4" s="129"/>
      <c r="J4" s="24">
        <f>IF($C$4&lt;&gt;"",IF(H4=$C$4,'Tabla general'!$L$6,0), 0)</f>
        <v>0</v>
      </c>
      <c r="K4" s="128">
        <f>SUM(K6:L13)</f>
        <v>0</v>
      </c>
      <c r="L4" s="129"/>
      <c r="M4" s="24">
        <f>IF($C$4&lt;&gt;"",IF(K4=$C$4,'Tabla general'!$L$6,0), 0)</f>
        <v>0</v>
      </c>
      <c r="N4" s="128">
        <f>SUM(N6:O13)</f>
        <v>0</v>
      </c>
      <c r="O4" s="129"/>
      <c r="P4" s="24">
        <f>IF($C$4&lt;&gt;"",IF(N4=$C$4,'Tabla general'!$L$6,0), 0)</f>
        <v>0</v>
      </c>
      <c r="Q4" s="128">
        <f>SUM(Q6:R13)</f>
        <v>0</v>
      </c>
      <c r="R4" s="129"/>
      <c r="S4" s="24">
        <f>IF($C$4&lt;&gt;"",IF(Q4=$C$4,'Tabla general'!$L$6,0), 0)</f>
        <v>0</v>
      </c>
      <c r="T4" s="128">
        <f>SUM(T6:U13)</f>
        <v>0</v>
      </c>
      <c r="U4" s="129"/>
      <c r="V4" s="24">
        <f>IF($C$4&lt;&gt;"",IF(T4=$C$4,'Tabla general'!$L$6,0), 0)</f>
        <v>0</v>
      </c>
      <c r="W4" s="128">
        <f>SUM(W6:X13)</f>
        <v>0</v>
      </c>
      <c r="X4" s="129"/>
      <c r="Y4" s="24">
        <f>IF($C$4&lt;&gt;"",IF(W4=$C$4,'Tabla general'!$L$6,0), 0)</f>
        <v>0</v>
      </c>
      <c r="Z4" s="128">
        <f>SUM(Z6:AA13)</f>
        <v>0</v>
      </c>
      <c r="AA4" s="129"/>
      <c r="AB4" s="24">
        <f>IF($C$4&lt;&gt;"",IF(Z4=$C$4,'Tabla general'!$L$6,0), 0)</f>
        <v>0</v>
      </c>
      <c r="AC4" s="128">
        <f>SUM(AC6:AD13)</f>
        <v>0</v>
      </c>
      <c r="AD4" s="129"/>
      <c r="AE4" s="24">
        <f>IF($C$4&lt;&gt;"",IF(AC4=$C$4,'Tabla general'!$L$6,0), 0)</f>
        <v>0</v>
      </c>
      <c r="AF4" s="128">
        <f>SUM(AF6:AG13)</f>
        <v>0</v>
      </c>
      <c r="AG4" s="129"/>
      <c r="AH4" s="24">
        <f>IF($C$4&lt;&gt;"",IF(AF4=$C$4,'Tabla general'!$L$6,0), 0)</f>
        <v>0</v>
      </c>
      <c r="AI4" s="128">
        <f>SUM(AI6:AJ13)</f>
        <v>0</v>
      </c>
      <c r="AJ4" s="129"/>
      <c r="AK4" s="24">
        <f>IF($C$4&lt;&gt;"",IF(AI4=$C$4,'Tabla general'!$L$6,0), 0)</f>
        <v>0</v>
      </c>
      <c r="AL4" s="128">
        <f>SUM(AL6:AM13)</f>
        <v>0</v>
      </c>
      <c r="AM4" s="129"/>
      <c r="AN4" s="24">
        <f>IF($C$4&lt;&gt;"",IF(AL4=$C$4,'Tabla general'!$L$6,0), 0)</f>
        <v>0</v>
      </c>
      <c r="AO4" s="128">
        <f>SUM(AO6:AP13)</f>
        <v>0</v>
      </c>
      <c r="AP4" s="129"/>
      <c r="AQ4" s="24">
        <f>IF($C$4&lt;&gt;"",IF(AO4=$C$4,'Tabla general'!$L$6,0), 0)</f>
        <v>0</v>
      </c>
      <c r="AR4" s="128">
        <f>SUM(AR6:AS13)</f>
        <v>0</v>
      </c>
      <c r="AS4" s="129"/>
      <c r="AT4" s="24">
        <f>IF($C$4&lt;&gt;"",IF(AR4=$C$4,'Tabla general'!$L$6,0), 0)</f>
        <v>0</v>
      </c>
      <c r="AU4" s="128">
        <f>SUM(AU6:AV13)</f>
        <v>0</v>
      </c>
      <c r="AV4" s="129"/>
      <c r="AW4" s="24">
        <f>IF($C$4&lt;&gt;"",IF(AU4=$C$4,'Tabla general'!$L$6,0), 0)</f>
        <v>0</v>
      </c>
      <c r="AX4" s="119">
        <f>SUM(AX6:AY13)</f>
        <v>0</v>
      </c>
      <c r="AY4" s="120"/>
      <c r="AZ4" s="24">
        <f>IF($C$4&lt;&gt;"",IF(AX4=$C$4,'Tabla general'!$L$6,0), 0)</f>
        <v>0</v>
      </c>
    </row>
    <row r="5" spans="1:52" s="7" customFormat="1" ht="15.75" thickBot="1">
      <c r="A5" s="132" t="s">
        <v>68</v>
      </c>
      <c r="B5" s="132"/>
      <c r="C5" s="133" t="s">
        <v>69</v>
      </c>
      <c r="D5" s="134"/>
      <c r="E5" s="144" t="s">
        <v>70</v>
      </c>
      <c r="F5" s="144"/>
      <c r="G5" s="103" t="s">
        <v>59</v>
      </c>
      <c r="H5" s="145" t="s">
        <v>70</v>
      </c>
      <c r="I5" s="145"/>
      <c r="J5" s="104" t="s">
        <v>59</v>
      </c>
      <c r="K5" s="146" t="s">
        <v>70</v>
      </c>
      <c r="L5" s="147"/>
      <c r="M5" s="105" t="s">
        <v>59</v>
      </c>
      <c r="N5" s="148" t="s">
        <v>70</v>
      </c>
      <c r="O5" s="148"/>
      <c r="P5" s="106" t="s">
        <v>59</v>
      </c>
      <c r="Q5" s="151" t="s">
        <v>70</v>
      </c>
      <c r="R5" s="151"/>
      <c r="S5" s="98" t="s">
        <v>59</v>
      </c>
      <c r="T5" s="152" t="s">
        <v>70</v>
      </c>
      <c r="U5" s="152"/>
      <c r="V5" s="99" t="s">
        <v>59</v>
      </c>
      <c r="W5" s="153" t="s">
        <v>70</v>
      </c>
      <c r="X5" s="153"/>
      <c r="Y5" s="100" t="s">
        <v>59</v>
      </c>
      <c r="Z5" s="154" t="s">
        <v>70</v>
      </c>
      <c r="AA5" s="154"/>
      <c r="AB5" s="101" t="s">
        <v>59</v>
      </c>
      <c r="AC5" s="155" t="s">
        <v>70</v>
      </c>
      <c r="AD5" s="155"/>
      <c r="AE5" s="102" t="s">
        <v>59</v>
      </c>
      <c r="AF5" s="130" t="s">
        <v>70</v>
      </c>
      <c r="AG5" s="130"/>
      <c r="AH5" s="107" t="s">
        <v>59</v>
      </c>
      <c r="AI5" s="131" t="s">
        <v>70</v>
      </c>
      <c r="AJ5" s="131"/>
      <c r="AK5" s="108" t="s">
        <v>59</v>
      </c>
      <c r="AL5" s="149" t="s">
        <v>70</v>
      </c>
      <c r="AM5" s="149"/>
      <c r="AN5" s="109" t="s">
        <v>59</v>
      </c>
      <c r="AO5" s="150" t="s">
        <v>70</v>
      </c>
      <c r="AP5" s="150"/>
      <c r="AQ5" s="97" t="s">
        <v>59</v>
      </c>
      <c r="AR5" s="130" t="s">
        <v>70</v>
      </c>
      <c r="AS5" s="130"/>
      <c r="AT5" s="107" t="s">
        <v>59</v>
      </c>
      <c r="AU5" s="131" t="s">
        <v>70</v>
      </c>
      <c r="AV5" s="131"/>
      <c r="AW5" s="108" t="s">
        <v>59</v>
      </c>
      <c r="AX5" s="121" t="s">
        <v>70</v>
      </c>
      <c r="AY5" s="121"/>
      <c r="AZ5" s="111" t="s">
        <v>59</v>
      </c>
    </row>
    <row r="6" spans="1:52">
      <c r="A6" s="2"/>
      <c r="B6" s="2"/>
      <c r="C6" s="49"/>
      <c r="D6" s="50"/>
      <c r="E6" s="25"/>
      <c r="F6" s="25"/>
      <c r="G6" s="39">
        <f>IF(AND($C6="",$D6=""),0,IF(AND($C6&gt;$D6,E6&gt;F6),'Tabla general'!$L$4,IF(AND($D6&gt;$C6,F6&gt;E6),'Tabla general'!$L$4,IF(AND($C6=$D6,E6=F6),'Tabla general'!$L$4,0))) + IF(AND($C6=E6,$D6=F6),'Tabla general'!$L$5,0))</f>
        <v>0</v>
      </c>
      <c r="H6" s="25"/>
      <c r="I6" s="25"/>
      <c r="J6" s="26">
        <f>IF(AND($C6="",$D6=""),0,IF(AND($C6&gt;$D6,H6&gt;I6),'Tabla general'!$L$4,IF(AND($D6&gt;$C6,I6&gt;H6),'Tabla general'!$L$4,IF(AND($C6=$D6,H6=I6),'Tabla general'!$L$4,0))) + IF(AND($C6=H6,$D6=I6),'Tabla general'!$L$5,0))</f>
        <v>0</v>
      </c>
      <c r="K6" s="25"/>
      <c r="L6" s="25"/>
      <c r="M6" s="27">
        <f>IF(AND($C6="",$D6=""),0,IF(AND($C6&gt;$D6,K6&gt;L6),'Tabla general'!$L$4,IF(AND($D6&gt;$C6,L6&gt;K6),'Tabla general'!$L$4,IF(AND($C6=$D6,K6=L6),'Tabla general'!$L$4,0))) + IF(AND($C6=K6,$D6=L6),'Tabla general'!$L$5,0))</f>
        <v>0</v>
      </c>
      <c r="N6" s="25"/>
      <c r="O6" s="25"/>
      <c r="P6" s="28">
        <f>IF(AND($C6="",$D6=""),0,IF(AND($C6&gt;$D6,N6&gt;O6),'Tabla general'!$L$4,IF(AND($D6&gt;$C6,O6&gt;N6),'Tabla general'!$L$4,IF(AND($C6=$D6,N6=O6),'Tabla general'!$L$4,0))) + IF(AND($C6=N6,$D6=O6),'Tabla general'!$L$5,0))</f>
        <v>0</v>
      </c>
      <c r="Q6" s="25"/>
      <c r="R6" s="25"/>
      <c r="S6" s="29">
        <f>IF(AND($C6="",$D6=""),0,IF(AND($C6&gt;$D6,Q6&gt;R6),'Tabla general'!$L$4,IF(AND($D6&gt;$C6,R6&gt;Q6),'Tabla general'!$L$4,IF(AND($C6=$D6,Q6=R6),'Tabla general'!$L$4,0))) + IF(AND($C6=Q6,$D6=R6),'Tabla general'!$L$5,0))</f>
        <v>0</v>
      </c>
      <c r="T6" s="25"/>
      <c r="U6" s="25"/>
      <c r="V6" s="30">
        <f>IF(AND($C6="",$D6=""),0,IF(AND($C6&gt;$D6,T6&gt;U6),'Tabla general'!$L$4,IF(AND($D6&gt;$C6,U6&gt;T6),'Tabla general'!$L$4,IF(AND($C6=$D6,T6=U6),'Tabla general'!$L$4,0))) + IF(AND($C6=T6,$D6=U6),'Tabla general'!$L$5,0))</f>
        <v>0</v>
      </c>
      <c r="W6" s="25"/>
      <c r="X6" s="25"/>
      <c r="Y6" s="31">
        <f>IF(AND($C6="",$D6=""),0,IF(AND($C6&gt;$D6,W6&gt;X6),'Tabla general'!$L$4,IF(AND($D6&gt;$C6,X6&gt;W6),'Tabla general'!$L$4,IF(AND($C6=$D6,W6=X6),'Tabla general'!$L$4,0))) + IF(AND($C6=W6,$D6=X6),'Tabla general'!$L$5,0))</f>
        <v>0</v>
      </c>
      <c r="Z6" s="25"/>
      <c r="AA6" s="25"/>
      <c r="AB6" s="32">
        <f>IF(AND($C6="",$D6=""),0,IF(AND($C6&gt;$D6,Z6&gt;AA6),'Tabla general'!$L$4,IF(AND($D6&gt;$C6,AA6&gt;Z6),'Tabla general'!$L$4,IF(AND($C6=$D6,Z6=AA6),'Tabla general'!$L$4,0))) + IF(AND($C6=Z6,$D6=AA6),'Tabla general'!$L$5,0))</f>
        <v>0</v>
      </c>
      <c r="AC6" s="25"/>
      <c r="AD6" s="25"/>
      <c r="AE6" s="33">
        <f>IF(AND($C6="",$D6=""),0,IF(AND($C6&gt;$D6,AC6&gt;AD6),'Tabla general'!$L$4,IF(AND($D6&gt;$C6,AD6&gt;AC6),'Tabla general'!$L$4,IF(AND($C6=$D6,AC6=AD6),'Tabla general'!$L$4,0))) + IF(AND($C6=AC6,$D6=AD6),'Tabla general'!$L$5,0))</f>
        <v>0</v>
      </c>
      <c r="AF6" s="25"/>
      <c r="AG6" s="25"/>
      <c r="AH6" s="34">
        <f>IF(AND($C6="",$D6=""),0,IF(AND($C6&gt;$D6,AF6&gt;AG6),'Tabla general'!$L$4,IF(AND($D6&gt;$C6,AG6&gt;AF6),'Tabla general'!$L$4,IF(AND($C6=$D6,AF6=AG6),'Tabla general'!$L$4,0))) + IF(AND($C6=AF6,$D6=AG6),'Tabla general'!$L$5,0))</f>
        <v>0</v>
      </c>
      <c r="AI6" s="25"/>
      <c r="AJ6" s="25"/>
      <c r="AK6" s="35">
        <f>IF(AND($C6="",$D6=""),0,IF(AND($C6&gt;$D6,AI6&gt;AJ6),'Tabla general'!$L$4,IF(AND($D6&gt;$C6,AJ6&gt;AI6),'Tabla general'!$L$4,IF(AND($C6=$D6,AI6=AJ6),'Tabla general'!$L$4,0))) + IF(AND($C6=AI6,$D6=AJ6),'Tabla general'!$L$5,0))</f>
        <v>0</v>
      </c>
      <c r="AL6" s="25"/>
      <c r="AM6" s="25"/>
      <c r="AN6" s="36">
        <f>IF(AND($C6="",$D6=""),0,IF(AND($C6&gt;$D6,AL6&gt;AM6),'Tabla general'!$L$4,IF(AND($D6&gt;$C6,AM6&gt;AL6),'Tabla general'!$L$4,IF(AND($C6=$D6,AL6=AM6),'Tabla general'!$L$4,0))) + IF(AND($C6=AL6,$D6=AM6),'Tabla general'!$L$5,0))</f>
        <v>0</v>
      </c>
      <c r="AO6" s="25"/>
      <c r="AP6" s="25"/>
      <c r="AQ6" s="37">
        <f>IF(AND($C6="",$D6=""),0,IF(AND($C6&gt;$D6,AO6&gt;AP6),'Tabla general'!$L$4,IF(AND($D6&gt;$C6,AP6&gt;AO6),'Tabla general'!$L$4,IF(AND($C6=$D6,AO6=AP6),'Tabla general'!$L$4,0))) + IF(AND($C6=AO6,$D6=AP6),'Tabla general'!$L$5,0))</f>
        <v>0</v>
      </c>
      <c r="AR6" s="25"/>
      <c r="AS6" s="25"/>
      <c r="AT6" s="34">
        <f>IF(AND($C6="",$D6=""),0,IF(AND($C6&gt;$D6,AR6&gt;AS6),'Tabla general'!$L$4,IF(AND($D6&gt;$C6,AS6&gt;AR6),'Tabla general'!$L$4,IF(AND($C6=$D6,AR6=AS6),'Tabla general'!$L$4,0))) + IF(AND($C6=AR6,$D6=AS6),'Tabla general'!$L$5,0))</f>
        <v>0</v>
      </c>
      <c r="AU6" s="25"/>
      <c r="AV6" s="25"/>
      <c r="AW6" s="35">
        <f>IF(AND($C6="",$D6=""),0,IF(AND($C6&gt;$D6,AU6&gt;AV6),'Tabla general'!$L$4,IF(AND($D6&gt;$C6,AV6&gt;AU6),'Tabla general'!$L$4,IF(AND($C6=$D6,AU6=AV6),'Tabla general'!$L$4,0))) + IF(AND($C6=AU6,$D6=AV6),'Tabla general'!$L$5,0))</f>
        <v>0</v>
      </c>
      <c r="AX6" s="47"/>
      <c r="AY6" s="46"/>
      <c r="AZ6" s="35">
        <f>IF(AND($C6="",$D6=""),0,IF(AND($C6&gt;$D6,AX6&gt;AY6),'Tabla general'!$L$4,IF(AND($D6&gt;$C6,AY6&gt;AX6),'Tabla general'!$L$4,IF(AND($C6=$D6,AX6=AY6),'Tabla general'!$L$4,0))) + IF(AND($C6=AX6,$D6=AY6),'Tabla general'!$L$5,0))</f>
        <v>0</v>
      </c>
    </row>
    <row r="7" spans="1:52">
      <c r="A7" s="2"/>
      <c r="B7" s="2"/>
      <c r="C7" s="49"/>
      <c r="D7" s="50"/>
      <c r="E7" s="38"/>
      <c r="F7" s="38"/>
      <c r="G7" s="39">
        <f>IF(AND($C7="",$D7=""),0,IF(AND($C7&gt;$D7,E7&gt;F7),'Tabla general'!$L$4,IF(AND($D7&gt;$C7,F7&gt;E7),'Tabla general'!$L$4,IF(AND($C7=$D7,E7=F7),'Tabla general'!$L$4,0))) + IF(AND($C7=E7,$D7=F7),'Tabla general'!$L$5,0))</f>
        <v>0</v>
      </c>
      <c r="H7" s="38"/>
      <c r="I7" s="38"/>
      <c r="J7" s="26">
        <f>IF(AND($C7="",$D7=""),0,IF(AND($C7&gt;$D7,H7&gt;I7),'Tabla general'!$L$4,IF(AND($D7&gt;$C7,I7&gt;H7),'Tabla general'!$L$4,IF(AND($C7=$D7,H7=I7),'Tabla general'!$L$4,0))) + IF(AND($C7=H7,$D7=I7),'Tabla general'!$L$5,0))</f>
        <v>0</v>
      </c>
      <c r="K7" s="38"/>
      <c r="L7" s="38"/>
      <c r="M7" s="27">
        <f>IF(AND($C7="",$D7=""),0,IF(AND($C7&gt;$D7,K7&gt;L7),'Tabla general'!$L$4,IF(AND($D7&gt;$C7,L7&gt;K7),'Tabla general'!$L$4,IF(AND($C7=$D7,K7=L7),'Tabla general'!$L$4,0))) + IF(AND($C7=K7,$D7=L7),'Tabla general'!$L$5,0))</f>
        <v>0</v>
      </c>
      <c r="N7" s="38"/>
      <c r="O7" s="38"/>
      <c r="P7" s="28">
        <f>IF(AND($C7="",$D7=""),0,IF(AND($C7&gt;$D7,N7&gt;O7),'Tabla general'!$L$4,IF(AND($D7&gt;$C7,O7&gt;N7),'Tabla general'!$L$4,IF(AND($C7=$D7,N7=O7),'Tabla general'!$L$4,0))) + IF(AND($C7=N7,$D7=O7),'Tabla general'!$L$5,0))</f>
        <v>0</v>
      </c>
      <c r="Q7" s="38"/>
      <c r="R7" s="38"/>
      <c r="S7" s="29">
        <f>IF(AND($C7="",$D7=""),0,IF(AND($C7&gt;$D7,Q7&gt;R7),'Tabla general'!$L$4,IF(AND($D7&gt;$C7,R7&gt;Q7),'Tabla general'!$L$4,IF(AND($C7=$D7,Q7=R7),'Tabla general'!$L$4,0))) + IF(AND($C7=Q7,$D7=R7),'Tabla general'!$L$5,0))</f>
        <v>0</v>
      </c>
      <c r="T7" s="38"/>
      <c r="U7" s="38"/>
      <c r="V7" s="30">
        <f>IF(AND($C7="",$D7=""),0,IF(AND($C7&gt;$D7,T7&gt;U7),'Tabla general'!$L$4,IF(AND($D7&gt;$C7,U7&gt;T7),'Tabla general'!$L$4,IF(AND($C7=$D7,T7=U7),'Tabla general'!$L$4,0))) + IF(AND($C7=T7,$D7=U7),'Tabla general'!$L$5,0))</f>
        <v>0</v>
      </c>
      <c r="W7" s="38"/>
      <c r="X7" s="38"/>
      <c r="Y7" s="31">
        <f>IF(AND($C7="",$D7=""),0,IF(AND($C7&gt;$D7,W7&gt;X7),'Tabla general'!$L$4,IF(AND($D7&gt;$C7,X7&gt;W7),'Tabla general'!$L$4,IF(AND($C7=$D7,W7=X7),'Tabla general'!$L$4,0))) + IF(AND($C7=W7,$D7=X7),'Tabla general'!$L$5,0))</f>
        <v>0</v>
      </c>
      <c r="Z7" s="38"/>
      <c r="AA7" s="38"/>
      <c r="AB7" s="32">
        <f>IF(AND($C7="",$D7=""),0,IF(AND($C7&gt;$D7,Z7&gt;AA7),'Tabla general'!$L$4,IF(AND($D7&gt;$C7,AA7&gt;Z7),'Tabla general'!$L$4,IF(AND($C7=$D7,Z7=AA7),'Tabla general'!$L$4,0))) + IF(AND($C7=Z7,$D7=AA7),'Tabla general'!$L$5,0))</f>
        <v>0</v>
      </c>
      <c r="AC7" s="38"/>
      <c r="AD7" s="38"/>
      <c r="AE7" s="33">
        <f>IF(AND($C7="",$D7=""),0,IF(AND($C7&gt;$D7,AC7&gt;AD7),'Tabla general'!$L$4,IF(AND($D7&gt;$C7,AD7&gt;AC7),'Tabla general'!$L$4,IF(AND($C7=$D7,AC7=AD7),'Tabla general'!$L$4,0))) + IF(AND($C7=AC7,$D7=AD7),'Tabla general'!$L$5,0))</f>
        <v>0</v>
      </c>
      <c r="AF7" s="38"/>
      <c r="AG7" s="38"/>
      <c r="AH7" s="34">
        <f>IF(AND($C7="",$D7=""),0,IF(AND($C7&gt;$D7,AF7&gt;AG7),'Tabla general'!$L$4,IF(AND($D7&gt;$C7,AG7&gt;AF7),'Tabla general'!$L$4,IF(AND($C7=$D7,AF7=AG7),'Tabla general'!$L$4,0))) + IF(AND($C7=AF7,$D7=AG7),'Tabla general'!$L$5,0))</f>
        <v>0</v>
      </c>
      <c r="AI7" s="38"/>
      <c r="AJ7" s="38"/>
      <c r="AK7" s="35">
        <f>IF(AND($C7="",$D7=""),0,IF(AND($C7&gt;$D7,AI7&gt;AJ7),'Tabla general'!$L$4,IF(AND($D7&gt;$C7,AJ7&gt;AI7),'Tabla general'!$L$4,IF(AND($C7=$D7,AI7=AJ7),'Tabla general'!$L$4,0))) + IF(AND($C7=AI7,$D7=AJ7),'Tabla general'!$L$5,0))</f>
        <v>0</v>
      </c>
      <c r="AL7" s="38"/>
      <c r="AM7" s="38"/>
      <c r="AN7" s="36">
        <f>IF(AND($C7="",$D7=""),0,IF(AND($C7&gt;$D7,AL7&gt;AM7),'Tabla general'!$L$4,IF(AND($D7&gt;$C7,AM7&gt;AL7),'Tabla general'!$L$4,IF(AND($C7=$D7,AL7=AM7),'Tabla general'!$L$4,0))) + IF(AND($C7=AL7,$D7=AM7),'Tabla general'!$L$5,0))</f>
        <v>0</v>
      </c>
      <c r="AO7" s="38"/>
      <c r="AP7" s="38"/>
      <c r="AQ7" s="37">
        <f>IF(AND($C7="",$D7=""),0,IF(AND($C7&gt;$D7,AO7&gt;AP7),'Tabla general'!$L$4,IF(AND($D7&gt;$C7,AP7&gt;AO7),'Tabla general'!$L$4,IF(AND($C7=$D7,AO7=AP7),'Tabla general'!$L$4,0))) + IF(AND($C7=AO7,$D7=AP7),'Tabla general'!$L$5,0))</f>
        <v>0</v>
      </c>
      <c r="AR7" s="38"/>
      <c r="AS7" s="38"/>
      <c r="AT7" s="34">
        <f>IF(AND($C7="",$D7=""),0,IF(AND($C7&gt;$D7,AR7&gt;AS7),'Tabla general'!$L$4,IF(AND($D7&gt;$C7,AS7&gt;AR7),'Tabla general'!$L$4,IF(AND($C7=$D7,AR7=AS7),'Tabla general'!$L$4,0))) + IF(AND($C7=AR7,$D7=AS7),'Tabla general'!$L$5,0))</f>
        <v>0</v>
      </c>
      <c r="AU7" s="38"/>
      <c r="AV7" s="38"/>
      <c r="AW7" s="35">
        <f>IF(AND($C7="",$D7=""),0,IF(AND($C7&gt;$D7,AU7&gt;AV7),'Tabla general'!$L$4,IF(AND($D7&gt;$C7,AV7&gt;AU7),'Tabla general'!$L$4,IF(AND($C7=$D7,AU7=AV7),'Tabla general'!$L$4,0))) + IF(AND($C7=AU7,$D7=AV7),'Tabla general'!$L$5,0))</f>
        <v>0</v>
      </c>
      <c r="AX7" s="48"/>
      <c r="AY7" s="46"/>
      <c r="AZ7" s="35">
        <f>IF(AND($C7="",$D7=""),0,IF(AND($C7&gt;$D7,AX7&gt;AY7),'Tabla general'!$L$4,IF(AND($D7&gt;$C7,AY7&gt;AX7),'Tabla general'!$L$4,IF(AND($C7=$D7,AX7=AY7),'Tabla general'!$L$4,0))) + IF(AND($C7=AX7,$D7=AY7),'Tabla general'!$L$5,0))</f>
        <v>0</v>
      </c>
    </row>
    <row r="8" spans="1:52">
      <c r="A8" s="2"/>
      <c r="B8" s="2"/>
      <c r="C8" s="49"/>
      <c r="D8" s="50"/>
      <c r="E8" s="38"/>
      <c r="F8" s="38"/>
      <c r="G8" s="39">
        <f>IF(AND($C8="",$D8=""),0,IF(AND($C8&gt;$D8,E8&gt;F8),'Tabla general'!$L$4,IF(AND($D8&gt;$C8,F8&gt;E8),'Tabla general'!$L$4,IF(AND($C8=$D8,E8=F8),'Tabla general'!$L$4,0))) + IF(AND($C8=E8,$D8=F8),'Tabla general'!$L$5,0))</f>
        <v>0</v>
      </c>
      <c r="H8" s="38"/>
      <c r="I8" s="38"/>
      <c r="J8" s="26">
        <f>IF(AND($C8="",$D8=""),0,IF(AND($C8&gt;$D8,H8&gt;I8),'Tabla general'!$L$4,IF(AND($D8&gt;$C8,I8&gt;H8),'Tabla general'!$L$4,IF(AND($C8=$D8,H8=I8),'Tabla general'!$L$4,0))) + IF(AND($C8=H8,$D8=I8),'Tabla general'!$L$5,0))</f>
        <v>0</v>
      </c>
      <c r="K8" s="38"/>
      <c r="L8" s="38"/>
      <c r="M8" s="27">
        <f>IF(AND($C8="",$D8=""),0,IF(AND($C8&gt;$D8,K8&gt;L8),'Tabla general'!$L$4,IF(AND($D8&gt;$C8,L8&gt;K8),'Tabla general'!$L$4,IF(AND($C8=$D8,K8=L8),'Tabla general'!$L$4,0))) + IF(AND($C8=K8,$D8=L8),'Tabla general'!$L$5,0))</f>
        <v>0</v>
      </c>
      <c r="N8" s="38"/>
      <c r="O8" s="38"/>
      <c r="P8" s="28">
        <f>IF(AND($C8="",$D8=""),0,IF(AND($C8&gt;$D8,N8&gt;O8),'Tabla general'!$L$4,IF(AND($D8&gt;$C8,O8&gt;N8),'Tabla general'!$L$4,IF(AND($C8=$D8,N8=O8),'Tabla general'!$L$4,0))) + IF(AND($C8=N8,$D8=O8),'Tabla general'!$L$5,0))</f>
        <v>0</v>
      </c>
      <c r="Q8" s="38"/>
      <c r="R8" s="38"/>
      <c r="S8" s="29">
        <f>IF(AND($C8="",$D8=""),0,IF(AND($C8&gt;$D8,Q8&gt;R8),'Tabla general'!$L$4,IF(AND($D8&gt;$C8,R8&gt;Q8),'Tabla general'!$L$4,IF(AND($C8=$D8,Q8=R8),'Tabla general'!$L$4,0))) + IF(AND($C8=Q8,$D8=R8),'Tabla general'!$L$5,0))</f>
        <v>0</v>
      </c>
      <c r="T8" s="38"/>
      <c r="U8" s="38"/>
      <c r="V8" s="30">
        <f>IF(AND($C8="",$D8=""),0,IF(AND($C8&gt;$D8,T8&gt;U8),'Tabla general'!$L$4,IF(AND($D8&gt;$C8,U8&gt;T8),'Tabla general'!$L$4,IF(AND($C8=$D8,T8=U8),'Tabla general'!$L$4,0))) + IF(AND($C8=T8,$D8=U8),'Tabla general'!$L$5,0))</f>
        <v>0</v>
      </c>
      <c r="W8" s="38"/>
      <c r="X8" s="38"/>
      <c r="Y8" s="31">
        <f>IF(AND($C8="",$D8=""),0,IF(AND($C8&gt;$D8,W8&gt;X8),'Tabla general'!$L$4,IF(AND($D8&gt;$C8,X8&gt;W8),'Tabla general'!$L$4,IF(AND($C8=$D8,W8=X8),'Tabla general'!$L$4,0))) + IF(AND($C8=W8,$D8=X8),'Tabla general'!$L$5,0))</f>
        <v>0</v>
      </c>
      <c r="Z8" s="38"/>
      <c r="AA8" s="38"/>
      <c r="AB8" s="32">
        <f>IF(AND($C8="",$D8=""),0,IF(AND($C8&gt;$D8,Z8&gt;AA8),'Tabla general'!$L$4,IF(AND($D8&gt;$C8,AA8&gt;Z8),'Tabla general'!$L$4,IF(AND($C8=$D8,Z8=AA8),'Tabla general'!$L$4,0))) + IF(AND($C8=Z8,$D8=AA8),'Tabla general'!$L$5,0))</f>
        <v>0</v>
      </c>
      <c r="AC8" s="38"/>
      <c r="AD8" s="38"/>
      <c r="AE8" s="33">
        <f>IF(AND($C8="",$D8=""),0,IF(AND($C8&gt;$D8,AC8&gt;AD8),'Tabla general'!$L$4,IF(AND($D8&gt;$C8,AD8&gt;AC8),'Tabla general'!$L$4,IF(AND($C8=$D8,AC8=AD8),'Tabla general'!$L$4,0))) + IF(AND($C8=AC8,$D8=AD8),'Tabla general'!$L$5,0))</f>
        <v>0</v>
      </c>
      <c r="AF8" s="38"/>
      <c r="AG8" s="38"/>
      <c r="AH8" s="34">
        <f>IF(AND($C8="",$D8=""),0,IF(AND($C8&gt;$D8,AF8&gt;AG8),'Tabla general'!$L$4,IF(AND($D8&gt;$C8,AG8&gt;AF8),'Tabla general'!$L$4,IF(AND($C8=$D8,AF8=AG8),'Tabla general'!$L$4,0))) + IF(AND($C8=AF8,$D8=AG8),'Tabla general'!$L$5,0))</f>
        <v>0</v>
      </c>
      <c r="AI8" s="38"/>
      <c r="AJ8" s="38"/>
      <c r="AK8" s="35">
        <f>IF(AND($C8="",$D8=""),0,IF(AND($C8&gt;$D8,AI8&gt;AJ8),'Tabla general'!$L$4,IF(AND($D8&gt;$C8,AJ8&gt;AI8),'Tabla general'!$L$4,IF(AND($C8=$D8,AI8=AJ8),'Tabla general'!$L$4,0))) + IF(AND($C8=AI8,$D8=AJ8),'Tabla general'!$L$5,0))</f>
        <v>0</v>
      </c>
      <c r="AL8" s="38"/>
      <c r="AM8" s="38"/>
      <c r="AN8" s="36">
        <f>IF(AND($C8="",$D8=""),0,IF(AND($C8&gt;$D8,AL8&gt;AM8),'Tabla general'!$L$4,IF(AND($D8&gt;$C8,AM8&gt;AL8),'Tabla general'!$L$4,IF(AND($C8=$D8,AL8=AM8),'Tabla general'!$L$4,0))) + IF(AND($C8=AL8,$D8=AM8),'Tabla general'!$L$5,0))</f>
        <v>0</v>
      </c>
      <c r="AO8" s="38"/>
      <c r="AP8" s="38"/>
      <c r="AQ8" s="37">
        <f>IF(AND($C8="",$D8=""),0,IF(AND($C8&gt;$D8,AO8&gt;AP8),'Tabla general'!$L$4,IF(AND($D8&gt;$C8,AP8&gt;AO8),'Tabla general'!$L$4,IF(AND($C8=$D8,AO8=AP8),'Tabla general'!$L$4,0))) + IF(AND($C8=AO8,$D8=AP8),'Tabla general'!$L$5,0))</f>
        <v>0</v>
      </c>
      <c r="AR8" s="38"/>
      <c r="AS8" s="38"/>
      <c r="AT8" s="34">
        <f>IF(AND($C8="",$D8=""),0,IF(AND($C8&gt;$D8,AR8&gt;AS8),'Tabla general'!$L$4,IF(AND($D8&gt;$C8,AS8&gt;AR8),'Tabla general'!$L$4,IF(AND($C8=$D8,AR8=AS8),'Tabla general'!$L$4,0))) + IF(AND($C8=AR8,$D8=AS8),'Tabla general'!$L$5,0))</f>
        <v>0</v>
      </c>
      <c r="AU8" s="38"/>
      <c r="AV8" s="38"/>
      <c r="AW8" s="35">
        <f>IF(AND($C8="",$D8=""),0,IF(AND($C8&gt;$D8,AU8&gt;AV8),'Tabla general'!$L$4,IF(AND($D8&gt;$C8,AV8&gt;AU8),'Tabla general'!$L$4,IF(AND($C8=$D8,AU8=AV8),'Tabla general'!$L$4,0))) + IF(AND($C8=AU8,$D8=AV8),'Tabla general'!$L$5,0))</f>
        <v>0</v>
      </c>
      <c r="AX8" s="48"/>
      <c r="AY8" s="46"/>
      <c r="AZ8" s="35">
        <f>IF(AND($C8="",$D8=""),0,IF(AND($C8&gt;$D8,AX8&gt;AY8),'Tabla general'!$L$4,IF(AND($D8&gt;$C8,AY8&gt;AX8),'Tabla general'!$L$4,IF(AND($C8=$D8,AX8=AY8),'Tabla general'!$L$4,0))) + IF(AND($C8=AX8,$D8=AY8),'Tabla general'!$L$5,0))</f>
        <v>0</v>
      </c>
    </row>
    <row r="9" spans="1:52">
      <c r="A9" s="5"/>
      <c r="B9" s="5"/>
      <c r="C9" s="49"/>
      <c r="D9" s="50"/>
      <c r="E9" s="38"/>
      <c r="F9" s="38"/>
      <c r="G9" s="39">
        <f>IF(AND($C9="",$D9=""),0,IF(AND($C9&gt;$D9,E9&gt;F9),'Tabla general'!$L$4,IF(AND($D9&gt;$C9,F9&gt;E9),'Tabla general'!$L$4,IF(AND($C9=$D9,E9=F9),'Tabla general'!$L$4,0))) + IF(AND($C9=E9,$D9=F9),'Tabla general'!$L$5,0))</f>
        <v>0</v>
      </c>
      <c r="H9" s="38"/>
      <c r="I9" s="38"/>
      <c r="J9" s="26">
        <f>IF(AND($C9="",$D9=""),0,IF(AND($C9&gt;$D9,H9&gt;I9),'Tabla general'!$L$4,IF(AND($D9&gt;$C9,I9&gt;H9),'Tabla general'!$L$4,IF(AND($C9=$D9,H9=I9),'Tabla general'!$L$4,0))) + IF(AND($C9=H9,$D9=I9),'Tabla general'!$L$5,0))</f>
        <v>0</v>
      </c>
      <c r="K9" s="38"/>
      <c r="L9" s="38"/>
      <c r="M9" s="27">
        <f>IF(AND($C9="",$D9=""),0,IF(AND($C9&gt;$D9,K9&gt;L9),'Tabla general'!$L$4,IF(AND($D9&gt;$C9,L9&gt;K9),'Tabla general'!$L$4,IF(AND($C9=$D9,K9=L9),'Tabla general'!$L$4,0))) + IF(AND($C9=K9,$D9=L9),'Tabla general'!$L$5,0))</f>
        <v>0</v>
      </c>
      <c r="N9" s="38"/>
      <c r="O9" s="38"/>
      <c r="P9" s="28">
        <f>IF(AND($C9="",$D9=""),0,IF(AND($C9&gt;$D9,N9&gt;O9),'Tabla general'!$L$4,IF(AND($D9&gt;$C9,O9&gt;N9),'Tabla general'!$L$4,IF(AND($C9=$D9,N9=O9),'Tabla general'!$L$4,0))) + IF(AND($C9=N9,$D9=O9),'Tabla general'!$L$5,0))</f>
        <v>0</v>
      </c>
      <c r="Q9" s="38"/>
      <c r="R9" s="38"/>
      <c r="S9" s="29">
        <f>IF(AND($C9="",$D9=""),0,IF(AND($C9&gt;$D9,Q9&gt;R9),'Tabla general'!$L$4,IF(AND($D9&gt;$C9,R9&gt;Q9),'Tabla general'!$L$4,IF(AND($C9=$D9,Q9=R9),'Tabla general'!$L$4,0))) + IF(AND($C9=Q9,$D9=R9),'Tabla general'!$L$5,0))</f>
        <v>0</v>
      </c>
      <c r="T9" s="38"/>
      <c r="U9" s="38"/>
      <c r="V9" s="30">
        <f>IF(AND($C9="",$D9=""),0,IF(AND($C9&gt;$D9,T9&gt;U9),'Tabla general'!$L$4,IF(AND($D9&gt;$C9,U9&gt;T9),'Tabla general'!$L$4,IF(AND($C9=$D9,T9=U9),'Tabla general'!$L$4,0))) + IF(AND($C9=T9,$D9=U9),'Tabla general'!$L$5,0))</f>
        <v>0</v>
      </c>
      <c r="W9" s="38"/>
      <c r="X9" s="38"/>
      <c r="Y9" s="31">
        <f>IF(AND($C9="",$D9=""),0,IF(AND($C9&gt;$D9,W9&gt;X9),'Tabla general'!$L$4,IF(AND($D9&gt;$C9,X9&gt;W9),'Tabla general'!$L$4,IF(AND($C9=$D9,W9=X9),'Tabla general'!$L$4,0))) + IF(AND($C9=W9,$D9=X9),'Tabla general'!$L$5,0))</f>
        <v>0</v>
      </c>
      <c r="Z9" s="38"/>
      <c r="AA9" s="38"/>
      <c r="AB9" s="32">
        <f>IF(AND($C9="",$D9=""),0,IF(AND($C9&gt;$D9,Z9&gt;AA9),'Tabla general'!$L$4,IF(AND($D9&gt;$C9,AA9&gt;Z9),'Tabla general'!$L$4,IF(AND($C9=$D9,Z9=AA9),'Tabla general'!$L$4,0))) + IF(AND($C9=Z9,$D9=AA9),'Tabla general'!$L$5,0))</f>
        <v>0</v>
      </c>
      <c r="AC9" s="38"/>
      <c r="AD9" s="38"/>
      <c r="AE9" s="33">
        <f>IF(AND($C9="",$D9=""),0,IF(AND($C9&gt;$D9,AC9&gt;AD9),'Tabla general'!$L$4,IF(AND($D9&gt;$C9,AD9&gt;AC9),'Tabla general'!$L$4,IF(AND($C9=$D9,AC9=AD9),'Tabla general'!$L$4,0))) + IF(AND($C9=AC9,$D9=AD9),'Tabla general'!$L$5,0))</f>
        <v>0</v>
      </c>
      <c r="AF9" s="38"/>
      <c r="AG9" s="38"/>
      <c r="AH9" s="34">
        <f>IF(AND($C9="",$D9=""),0,IF(AND($C9&gt;$D9,AF9&gt;AG9),'Tabla general'!$L$4,IF(AND($D9&gt;$C9,AG9&gt;AF9),'Tabla general'!$L$4,IF(AND($C9=$D9,AF9=AG9),'Tabla general'!$L$4,0))) + IF(AND($C9=AF9,$D9=AG9),'Tabla general'!$L$5,0))</f>
        <v>0</v>
      </c>
      <c r="AI9" s="38"/>
      <c r="AJ9" s="38"/>
      <c r="AK9" s="35">
        <f>IF(AND($C9="",$D9=""),0,IF(AND($C9&gt;$D9,AI9&gt;AJ9),'Tabla general'!$L$4,IF(AND($D9&gt;$C9,AJ9&gt;AI9),'Tabla general'!$L$4,IF(AND($C9=$D9,AI9=AJ9),'Tabla general'!$L$4,0))) + IF(AND($C9=AI9,$D9=AJ9),'Tabla general'!$L$5,0))</f>
        <v>0</v>
      </c>
      <c r="AL9" s="38"/>
      <c r="AM9" s="38"/>
      <c r="AN9" s="36">
        <f>IF(AND($C9="",$D9=""),0,IF(AND($C9&gt;$D9,AL9&gt;AM9),'Tabla general'!$L$4,IF(AND($D9&gt;$C9,AM9&gt;AL9),'Tabla general'!$L$4,IF(AND($C9=$D9,AL9=AM9),'Tabla general'!$L$4,0))) + IF(AND($C9=AL9,$D9=AM9),'Tabla general'!$L$5,0))</f>
        <v>0</v>
      </c>
      <c r="AO9" s="38"/>
      <c r="AP9" s="38"/>
      <c r="AQ9" s="37">
        <f>IF(AND($C9="",$D9=""),0,IF(AND($C9&gt;$D9,AO9&gt;AP9),'Tabla general'!$L$4,IF(AND($D9&gt;$C9,AP9&gt;AO9),'Tabla general'!$L$4,IF(AND($C9=$D9,AO9=AP9),'Tabla general'!$L$4,0))) + IF(AND($C9=AO9,$D9=AP9),'Tabla general'!$L$5,0))</f>
        <v>0</v>
      </c>
      <c r="AR9" s="38"/>
      <c r="AS9" s="38"/>
      <c r="AT9" s="34">
        <f>IF(AND($C9="",$D9=""),0,IF(AND($C9&gt;$D9,AR9&gt;AS9),'Tabla general'!$L$4,IF(AND($D9&gt;$C9,AS9&gt;AR9),'Tabla general'!$L$4,IF(AND($C9=$D9,AR9=AS9),'Tabla general'!$L$4,0))) + IF(AND($C9=AR9,$D9=AS9),'Tabla general'!$L$5,0))</f>
        <v>0</v>
      </c>
      <c r="AU9" s="38"/>
      <c r="AV9" s="38"/>
      <c r="AW9" s="35">
        <f>IF(AND($C9="",$D9=""),0,IF(AND($C9&gt;$D9,AU9&gt;AV9),'Tabla general'!$L$4,IF(AND($D9&gt;$C9,AV9&gt;AU9),'Tabla general'!$L$4,IF(AND($C9=$D9,AU9=AV9),'Tabla general'!$L$4,0))) + IF(AND($C9=AU9,$D9=AV9),'Tabla general'!$L$5,0))</f>
        <v>0</v>
      </c>
      <c r="AX9" s="48"/>
      <c r="AY9" s="46"/>
      <c r="AZ9" s="35">
        <f>IF(AND($C9="",$D9=""),0,IF(AND($C9&gt;$D9,AX9&gt;AY9),'Tabla general'!$L$4,IF(AND($D9&gt;$C9,AY9&gt;AX9),'Tabla general'!$L$4,IF(AND($C9=$D9,AX9=AY9),'Tabla general'!$L$4,0))) + IF(AND($C9=AX9,$D9=AY9),'Tabla general'!$L$5,0))</f>
        <v>0</v>
      </c>
    </row>
    <row r="10" spans="1:52">
      <c r="A10" s="2"/>
      <c r="B10" s="2"/>
      <c r="C10" s="49"/>
      <c r="D10" s="50"/>
      <c r="E10" s="38"/>
      <c r="F10" s="38"/>
      <c r="G10" s="39">
        <f>IF(AND($C10="",$D10=""),0,IF(AND($C10&gt;$D10,E10&gt;F10),'Tabla general'!$L$4,IF(AND($D10&gt;$C10,F10&gt;E10),'Tabla general'!$L$4,IF(AND($C10=$D10,E10=F10),'Tabla general'!$L$4,0))) + IF(AND($C10=E10,$D10=F10),'Tabla general'!$L$5,0))</f>
        <v>0</v>
      </c>
      <c r="H10" s="38"/>
      <c r="I10" s="38"/>
      <c r="J10" s="26">
        <f>IF(AND($C10="",$D10=""),0,IF(AND($C10&gt;$D10,H10&gt;I10),'Tabla general'!$L$4,IF(AND($D10&gt;$C10,I10&gt;H10),'Tabla general'!$L$4,IF(AND($C10=$D10,H10=I10),'Tabla general'!$L$4,0))) + IF(AND($C10=H10,$D10=I10),'Tabla general'!$L$5,0))</f>
        <v>0</v>
      </c>
      <c r="K10" s="38"/>
      <c r="L10" s="38"/>
      <c r="M10" s="27">
        <f>IF(AND($C10="",$D10=""),0,IF(AND($C10&gt;$D10,K10&gt;L10),'Tabla general'!$L$4,IF(AND($D10&gt;$C10,L10&gt;K10),'Tabla general'!$L$4,IF(AND($C10=$D10,K10=L10),'Tabla general'!$L$4,0))) + IF(AND($C10=K10,$D10=L10),'Tabla general'!$L$5,0))</f>
        <v>0</v>
      </c>
      <c r="N10" s="38"/>
      <c r="O10" s="38"/>
      <c r="P10" s="28">
        <f>IF(AND($C10="",$D10=""),0,IF(AND($C10&gt;$D10,N10&gt;O10),'Tabla general'!$L$4,IF(AND($D10&gt;$C10,O10&gt;N10),'Tabla general'!$L$4,IF(AND($C10=$D10,N10=O10),'Tabla general'!$L$4,0))) + IF(AND($C10=N10,$D10=O10),'Tabla general'!$L$5,0))</f>
        <v>0</v>
      </c>
      <c r="Q10" s="38"/>
      <c r="R10" s="38"/>
      <c r="S10" s="29">
        <f>IF(AND($C10="",$D10=""),0,IF(AND($C10&gt;$D10,Q10&gt;R10),'Tabla general'!$L$4,IF(AND($D10&gt;$C10,R10&gt;Q10),'Tabla general'!$L$4,IF(AND($C10=$D10,Q10=R10),'Tabla general'!$L$4,0))) + IF(AND($C10=Q10,$D10=R10),'Tabla general'!$L$5,0))</f>
        <v>0</v>
      </c>
      <c r="T10" s="38"/>
      <c r="U10" s="38"/>
      <c r="V10" s="30">
        <f>IF(AND($C10="",$D10=""),0,IF(AND($C10&gt;$D10,T10&gt;U10),'Tabla general'!$L$4,IF(AND($D10&gt;$C10,U10&gt;T10),'Tabla general'!$L$4,IF(AND($C10=$D10,T10=U10),'Tabla general'!$L$4,0))) + IF(AND($C10=T10,$D10=U10),'Tabla general'!$L$5,0))</f>
        <v>0</v>
      </c>
      <c r="W10" s="38"/>
      <c r="X10" s="38"/>
      <c r="Y10" s="31">
        <f>IF(AND($C10="",$D10=""),0,IF(AND($C10&gt;$D10,W10&gt;X10),'Tabla general'!$L$4,IF(AND($D10&gt;$C10,X10&gt;W10),'Tabla general'!$L$4,IF(AND($C10=$D10,W10=X10),'Tabla general'!$L$4,0))) + IF(AND($C10=W10,$D10=X10),'Tabla general'!$L$5,0))</f>
        <v>0</v>
      </c>
      <c r="Z10" s="38"/>
      <c r="AA10" s="38"/>
      <c r="AB10" s="32">
        <f>IF(AND($C10="",$D10=""),0,IF(AND($C10&gt;$D10,Z10&gt;AA10),'Tabla general'!$L$4,IF(AND($D10&gt;$C10,AA10&gt;Z10),'Tabla general'!$L$4,IF(AND($C10=$D10,Z10=AA10),'Tabla general'!$L$4,0))) + IF(AND($C10=Z10,$D10=AA10),'Tabla general'!$L$5,0))</f>
        <v>0</v>
      </c>
      <c r="AC10" s="38"/>
      <c r="AD10" s="38"/>
      <c r="AE10" s="33">
        <f>IF(AND($C10="",$D10=""),0,IF(AND($C10&gt;$D10,AC10&gt;AD10),'Tabla general'!$L$4,IF(AND($D10&gt;$C10,AD10&gt;AC10),'Tabla general'!$L$4,IF(AND($C10=$D10,AC10=AD10),'Tabla general'!$L$4,0))) + IF(AND($C10=AC10,$D10=AD10),'Tabla general'!$L$5,0))</f>
        <v>0</v>
      </c>
      <c r="AF10" s="38"/>
      <c r="AG10" s="38"/>
      <c r="AH10" s="34">
        <f>IF(AND($C10="",$D10=""),0,IF(AND($C10&gt;$D10,AF10&gt;AG10),'Tabla general'!$L$4,IF(AND($D10&gt;$C10,AG10&gt;AF10),'Tabla general'!$L$4,IF(AND($C10=$D10,AF10=AG10),'Tabla general'!$L$4,0))) + IF(AND($C10=AF10,$D10=AG10),'Tabla general'!$L$5,0))</f>
        <v>0</v>
      </c>
      <c r="AI10" s="38"/>
      <c r="AJ10" s="38"/>
      <c r="AK10" s="35">
        <f>IF(AND($C10="",$D10=""),0,IF(AND($C10&gt;$D10,AI10&gt;AJ10),'Tabla general'!$L$4,IF(AND($D10&gt;$C10,AJ10&gt;AI10),'Tabla general'!$L$4,IF(AND($C10=$D10,AI10=AJ10),'Tabla general'!$L$4,0))) + IF(AND($C10=AI10,$D10=AJ10),'Tabla general'!$L$5,0))</f>
        <v>0</v>
      </c>
      <c r="AL10" s="38"/>
      <c r="AM10" s="38"/>
      <c r="AN10" s="36">
        <f>IF(AND($C10="",$D10=""),0,IF(AND($C10&gt;$D10,AL10&gt;AM10),'Tabla general'!$L$4,IF(AND($D10&gt;$C10,AM10&gt;AL10),'Tabla general'!$L$4,IF(AND($C10=$D10,AL10=AM10),'Tabla general'!$L$4,0))) + IF(AND($C10=AL10,$D10=AM10),'Tabla general'!$L$5,0))</f>
        <v>0</v>
      </c>
      <c r="AO10" s="38"/>
      <c r="AP10" s="38"/>
      <c r="AQ10" s="37">
        <f>IF(AND($C10="",$D10=""),0,IF(AND($C10&gt;$D10,AO10&gt;AP10),'Tabla general'!$L$4,IF(AND($D10&gt;$C10,AP10&gt;AO10),'Tabla general'!$L$4,IF(AND($C10=$D10,AO10=AP10),'Tabla general'!$L$4,0))) + IF(AND($C10=AO10,$D10=AP10),'Tabla general'!$L$5,0))</f>
        <v>0</v>
      </c>
      <c r="AR10" s="38"/>
      <c r="AS10" s="38"/>
      <c r="AT10" s="34">
        <f>IF(AND($C10="",$D10=""),0,IF(AND($C10&gt;$D10,AR10&gt;AS10),'Tabla general'!$L$4,IF(AND($D10&gt;$C10,AS10&gt;AR10),'Tabla general'!$L$4,IF(AND($C10=$D10,AR10=AS10),'Tabla general'!$L$4,0))) + IF(AND($C10=AR10,$D10=AS10),'Tabla general'!$L$5,0))</f>
        <v>0</v>
      </c>
      <c r="AU10" s="38"/>
      <c r="AV10" s="38"/>
      <c r="AW10" s="35">
        <f>IF(AND($C10="",$D10=""),0,IF(AND($C10&gt;$D10,AU10&gt;AV10),'Tabla general'!$L$4,IF(AND($D10&gt;$C10,AV10&gt;AU10),'Tabla general'!$L$4,IF(AND($C10=$D10,AU10=AV10),'Tabla general'!$L$4,0))) + IF(AND($C10=AU10,$D10=AV10),'Tabla general'!$L$5,0))</f>
        <v>0</v>
      </c>
      <c r="AX10" s="48"/>
      <c r="AY10" s="46"/>
      <c r="AZ10" s="35">
        <f>IF(AND($C10="",$D10=""),0,IF(AND($C10&gt;$D10,AX10&gt;AY10),'Tabla general'!$L$4,IF(AND($D10&gt;$C10,AY10&gt;AX10),'Tabla general'!$L$4,IF(AND($C10=$D10,AX10=AY10),'Tabla general'!$L$4,0))) + IF(AND($C10=AX10,$D10=AY10),'Tabla general'!$L$5,0))</f>
        <v>0</v>
      </c>
    </row>
    <row r="11" spans="1:52">
      <c r="A11" s="2"/>
      <c r="B11" s="2"/>
      <c r="C11" s="49"/>
      <c r="D11" s="50"/>
      <c r="E11" s="38"/>
      <c r="F11" s="38"/>
      <c r="G11" s="39">
        <f>IF(AND($C11="",$D11=""),0,IF(AND($C11&gt;$D11,E11&gt;F11),'Tabla general'!$L$4,IF(AND($D11&gt;$C11,F11&gt;E11),'Tabla general'!$L$4,IF(AND($C11=$D11,E11=F11),'Tabla general'!$L$4,0))) + IF(AND($C11=E11,$D11=F11),'Tabla general'!$L$5,0))</f>
        <v>0</v>
      </c>
      <c r="H11" s="38"/>
      <c r="I11" s="38"/>
      <c r="J11" s="26">
        <f>IF(AND($C11="",$D11=""),0,IF(AND($C11&gt;$D11,H11&gt;I11),'Tabla general'!$L$4,IF(AND($D11&gt;$C11,I11&gt;H11),'Tabla general'!$L$4,IF(AND($C11=$D11,H11=I11),'Tabla general'!$L$4,0))) + IF(AND($C11=H11,$D11=I11),'Tabla general'!$L$5,0))</f>
        <v>0</v>
      </c>
      <c r="K11" s="38"/>
      <c r="L11" s="38"/>
      <c r="M11" s="27">
        <f>IF(AND($C11="",$D11=""),0,IF(AND($C11&gt;$D11,K11&gt;L11),'Tabla general'!$L$4,IF(AND($D11&gt;$C11,L11&gt;K11),'Tabla general'!$L$4,IF(AND($C11=$D11,K11=L11),'Tabla general'!$L$4,0))) + IF(AND($C11=K11,$D11=L11),'Tabla general'!$L$5,0))</f>
        <v>0</v>
      </c>
      <c r="N11" s="38"/>
      <c r="O11" s="38"/>
      <c r="P11" s="28">
        <f>IF(AND($C11="",$D11=""),0,IF(AND($C11&gt;$D11,N11&gt;O11),'Tabla general'!$L$4,IF(AND($D11&gt;$C11,O11&gt;N11),'Tabla general'!$L$4,IF(AND($C11=$D11,N11=O11),'Tabla general'!$L$4,0))) + IF(AND($C11=N11,$D11=O11),'Tabla general'!$L$5,0))</f>
        <v>0</v>
      </c>
      <c r="Q11" s="38"/>
      <c r="R11" s="38"/>
      <c r="S11" s="29">
        <f>IF(AND($C11="",$D11=""),0,IF(AND($C11&gt;$D11,Q11&gt;R11),'Tabla general'!$L$4,IF(AND($D11&gt;$C11,R11&gt;Q11),'Tabla general'!$L$4,IF(AND($C11=$D11,Q11=R11),'Tabla general'!$L$4,0))) + IF(AND($C11=Q11,$D11=R11),'Tabla general'!$L$5,0))</f>
        <v>0</v>
      </c>
      <c r="T11" s="38"/>
      <c r="U11" s="38"/>
      <c r="V11" s="30">
        <f>IF(AND($C11="",$D11=""),0,IF(AND($C11&gt;$D11,T11&gt;U11),'Tabla general'!$L$4,IF(AND($D11&gt;$C11,U11&gt;T11),'Tabla general'!$L$4,IF(AND($C11=$D11,T11=U11),'Tabla general'!$L$4,0))) + IF(AND($C11=T11,$D11=U11),'Tabla general'!$L$5,0))</f>
        <v>0</v>
      </c>
      <c r="W11" s="38"/>
      <c r="X11" s="38"/>
      <c r="Y11" s="31">
        <f>IF(AND($C11="",$D11=""),0,IF(AND($C11&gt;$D11,W11&gt;X11),'Tabla general'!$L$4,IF(AND($D11&gt;$C11,X11&gt;W11),'Tabla general'!$L$4,IF(AND($C11=$D11,W11=X11),'Tabla general'!$L$4,0))) + IF(AND($C11=W11,$D11=X11),'Tabla general'!$L$5,0))</f>
        <v>0</v>
      </c>
      <c r="Z11" s="38"/>
      <c r="AA11" s="38"/>
      <c r="AB11" s="32">
        <f>IF(AND($C11="",$D11=""),0,IF(AND($C11&gt;$D11,Z11&gt;AA11),'Tabla general'!$L$4,IF(AND($D11&gt;$C11,AA11&gt;Z11),'Tabla general'!$L$4,IF(AND($C11=$D11,Z11=AA11),'Tabla general'!$L$4,0))) + IF(AND($C11=Z11,$D11=AA11),'Tabla general'!$L$5,0))</f>
        <v>0</v>
      </c>
      <c r="AC11" s="38"/>
      <c r="AD11" s="38"/>
      <c r="AE11" s="33">
        <f>IF(AND($C11="",$D11=""),0,IF(AND($C11&gt;$D11,AC11&gt;AD11),'Tabla general'!$L$4,IF(AND($D11&gt;$C11,AD11&gt;AC11),'Tabla general'!$L$4,IF(AND($C11=$D11,AC11=AD11),'Tabla general'!$L$4,0))) + IF(AND($C11=AC11,$D11=AD11),'Tabla general'!$L$5,0))</f>
        <v>0</v>
      </c>
      <c r="AF11" s="38"/>
      <c r="AG11" s="38"/>
      <c r="AH11" s="34">
        <f>IF(AND($C11="",$D11=""),0,IF(AND($C11&gt;$D11,AF11&gt;AG11),'Tabla general'!$L$4,IF(AND($D11&gt;$C11,AG11&gt;AF11),'Tabla general'!$L$4,IF(AND($C11=$D11,AF11=AG11),'Tabla general'!$L$4,0))) + IF(AND($C11=AF11,$D11=AG11),'Tabla general'!$L$5,0))</f>
        <v>0</v>
      </c>
      <c r="AI11" s="38"/>
      <c r="AJ11" s="38"/>
      <c r="AK11" s="35">
        <f>IF(AND($C11="",$D11=""),0,IF(AND($C11&gt;$D11,AI11&gt;AJ11),'Tabla general'!$L$4,IF(AND($D11&gt;$C11,AJ11&gt;AI11),'Tabla general'!$L$4,IF(AND($C11=$D11,AI11=AJ11),'Tabla general'!$L$4,0))) + IF(AND($C11=AI11,$D11=AJ11),'Tabla general'!$L$5,0))</f>
        <v>0</v>
      </c>
      <c r="AL11" s="38"/>
      <c r="AM11" s="38"/>
      <c r="AN11" s="36">
        <f>IF(AND($C11="",$D11=""),0,IF(AND($C11&gt;$D11,AL11&gt;AM11),'Tabla general'!$L$4,IF(AND($D11&gt;$C11,AM11&gt;AL11),'Tabla general'!$L$4,IF(AND($C11=$D11,AL11=AM11),'Tabla general'!$L$4,0))) + IF(AND($C11=AL11,$D11=AM11),'Tabla general'!$L$5,0))</f>
        <v>0</v>
      </c>
      <c r="AO11" s="38"/>
      <c r="AP11" s="38"/>
      <c r="AQ11" s="37">
        <f>IF(AND($C11="",$D11=""),0,IF(AND($C11&gt;$D11,AO11&gt;AP11),'Tabla general'!$L$4,IF(AND($D11&gt;$C11,AP11&gt;AO11),'Tabla general'!$L$4,IF(AND($C11=$D11,AO11=AP11),'Tabla general'!$L$4,0))) + IF(AND($C11=AO11,$D11=AP11),'Tabla general'!$L$5,0))</f>
        <v>0</v>
      </c>
      <c r="AR11" s="38"/>
      <c r="AS11" s="38"/>
      <c r="AT11" s="34">
        <f>IF(AND($C11="",$D11=""),0,IF(AND($C11&gt;$D11,AR11&gt;AS11),'Tabla general'!$L$4,IF(AND($D11&gt;$C11,AS11&gt;AR11),'Tabla general'!$L$4,IF(AND($C11=$D11,AR11=AS11),'Tabla general'!$L$4,0))) + IF(AND($C11=AR11,$D11=AS11),'Tabla general'!$L$5,0))</f>
        <v>0</v>
      </c>
      <c r="AU11" s="38"/>
      <c r="AV11" s="38"/>
      <c r="AW11" s="35">
        <f>IF(AND($C11="",$D11=""),0,IF(AND($C11&gt;$D11,AU11&gt;AV11),'Tabla general'!$L$4,IF(AND($D11&gt;$C11,AV11&gt;AU11),'Tabla general'!$L$4,IF(AND($C11=$D11,AU11=AV11),'Tabla general'!$L$4,0))) + IF(AND($C11=AU11,$D11=AV11),'Tabla general'!$L$5,0))</f>
        <v>0</v>
      </c>
      <c r="AX11" s="48"/>
      <c r="AY11" s="46"/>
      <c r="AZ11" s="35">
        <f>IF(AND($C11="",$D11=""),0,IF(AND($C11&gt;$D11,AX11&gt;AY11),'Tabla general'!$L$4,IF(AND($D11&gt;$C11,AY11&gt;AX11),'Tabla general'!$L$4,IF(AND($C11=$D11,AX11=AY11),'Tabla general'!$L$4,0))) + IF(AND($C11=AX11,$D11=AY11),'Tabla general'!$L$5,0))</f>
        <v>0</v>
      </c>
    </row>
    <row r="12" spans="1:52">
      <c r="A12" s="2"/>
      <c r="B12" s="2"/>
      <c r="C12" s="49"/>
      <c r="D12" s="50"/>
      <c r="E12" s="38"/>
      <c r="F12" s="38"/>
      <c r="G12" s="39">
        <f>IF(AND($C12="",$D12=""),0,IF(AND($C12&gt;$D12,E12&gt;F12),'Tabla general'!$L$4,IF(AND($D12&gt;$C12,F12&gt;E12),'Tabla general'!$L$4,IF(AND($C12=$D12,E12=F12),'Tabla general'!$L$4,0))) + IF(AND($C12=E12,$D12=F12),'Tabla general'!$L$5,0))</f>
        <v>0</v>
      </c>
      <c r="H12" s="38"/>
      <c r="I12" s="38"/>
      <c r="J12" s="26">
        <f>IF(AND($C12="",$D12=""),0,IF(AND($C12&gt;$D12,H12&gt;I12),'Tabla general'!$L$4,IF(AND($D12&gt;$C12,I12&gt;H12),'Tabla general'!$L$4,IF(AND($C12=$D12,H12=I12),'Tabla general'!$L$4,0))) + IF(AND($C12=H12,$D12=I12),'Tabla general'!$L$5,0))</f>
        <v>0</v>
      </c>
      <c r="K12" s="38"/>
      <c r="L12" s="38"/>
      <c r="M12" s="27">
        <f>IF(AND($C12="",$D12=""),0,IF(AND($C12&gt;$D12,K12&gt;L12),'Tabla general'!$L$4,IF(AND($D12&gt;$C12,L12&gt;K12),'Tabla general'!$L$4,IF(AND($C12=$D12,K12=L12),'Tabla general'!$L$4,0))) + IF(AND($C12=K12,$D12=L12),'Tabla general'!$L$5,0))</f>
        <v>0</v>
      </c>
      <c r="N12" s="38"/>
      <c r="O12" s="38"/>
      <c r="P12" s="28">
        <f>IF(AND($C12="",$D12=""),0,IF(AND($C12&gt;$D12,N12&gt;O12),'Tabla general'!$L$4,IF(AND($D12&gt;$C12,O12&gt;N12),'Tabla general'!$L$4,IF(AND($C12=$D12,N12=O12),'Tabla general'!$L$4,0))) + IF(AND($C12=N12,$D12=O12),'Tabla general'!$L$5,0))</f>
        <v>0</v>
      </c>
      <c r="Q12" s="38"/>
      <c r="R12" s="38"/>
      <c r="S12" s="29">
        <f>IF(AND($C12="",$D12=""),0,IF(AND($C12&gt;$D12,Q12&gt;R12),'Tabla general'!$L$4,IF(AND($D12&gt;$C12,R12&gt;Q12),'Tabla general'!$L$4,IF(AND($C12=$D12,Q12=R12),'Tabla general'!$L$4,0))) + IF(AND($C12=Q12,$D12=R12),'Tabla general'!$L$5,0))</f>
        <v>0</v>
      </c>
      <c r="T12" s="38"/>
      <c r="U12" s="38"/>
      <c r="V12" s="30">
        <f>IF(AND($C12="",$D12=""),0,IF(AND($C12&gt;$D12,T12&gt;U12),'Tabla general'!$L$4,IF(AND($D12&gt;$C12,U12&gt;T12),'Tabla general'!$L$4,IF(AND($C12=$D12,T12=U12),'Tabla general'!$L$4,0))) + IF(AND($C12=T12,$D12=U12),'Tabla general'!$L$5,0))</f>
        <v>0</v>
      </c>
      <c r="W12" s="38"/>
      <c r="X12" s="38"/>
      <c r="Y12" s="31">
        <f>IF(AND($C12="",$D12=""),0,IF(AND($C12&gt;$D12,W12&gt;X12),'Tabla general'!$L$4,IF(AND($D12&gt;$C12,X12&gt;W12),'Tabla general'!$L$4,IF(AND($C12=$D12,W12=X12),'Tabla general'!$L$4,0))) + IF(AND($C12=W12,$D12=X12),'Tabla general'!$L$5,0))</f>
        <v>0</v>
      </c>
      <c r="Z12" s="38"/>
      <c r="AA12" s="38"/>
      <c r="AB12" s="32">
        <f>IF(AND($C12="",$D12=""),0,IF(AND($C12&gt;$D12,Z12&gt;AA12),'Tabla general'!$L$4,IF(AND($D12&gt;$C12,AA12&gt;Z12),'Tabla general'!$L$4,IF(AND($C12=$D12,Z12=AA12),'Tabla general'!$L$4,0))) + IF(AND($C12=Z12,$D12=AA12),'Tabla general'!$L$5,0))</f>
        <v>0</v>
      </c>
      <c r="AC12" s="38"/>
      <c r="AD12" s="38"/>
      <c r="AE12" s="33">
        <f>IF(AND($C12="",$D12=""),0,IF(AND($C12&gt;$D12,AC12&gt;AD12),'Tabla general'!$L$4,IF(AND($D12&gt;$C12,AD12&gt;AC12),'Tabla general'!$L$4,IF(AND($C12=$D12,AC12=AD12),'Tabla general'!$L$4,0))) + IF(AND($C12=AC12,$D12=AD12),'Tabla general'!$L$5,0))</f>
        <v>0</v>
      </c>
      <c r="AF12" s="38"/>
      <c r="AG12" s="38"/>
      <c r="AH12" s="34">
        <f>IF(AND($C12="",$D12=""),0,IF(AND($C12&gt;$D12,AF12&gt;AG12),'Tabla general'!$L$4,IF(AND($D12&gt;$C12,AG12&gt;AF12),'Tabla general'!$L$4,IF(AND($C12=$D12,AF12=AG12),'Tabla general'!$L$4,0))) + IF(AND($C12=AF12,$D12=AG12),'Tabla general'!$L$5,0))</f>
        <v>0</v>
      </c>
      <c r="AI12" s="38"/>
      <c r="AJ12" s="38"/>
      <c r="AK12" s="35">
        <f>IF(AND($C12="",$D12=""),0,IF(AND($C12&gt;$D12,AI12&gt;AJ12),'Tabla general'!$L$4,IF(AND($D12&gt;$C12,AJ12&gt;AI12),'Tabla general'!$L$4,IF(AND($C12=$D12,AI12=AJ12),'Tabla general'!$L$4,0))) + IF(AND($C12=AI12,$D12=AJ12),'Tabla general'!$L$5,0))</f>
        <v>0</v>
      </c>
      <c r="AL12" s="38"/>
      <c r="AM12" s="38"/>
      <c r="AN12" s="36">
        <f>IF(AND($C12="",$D12=""),0,IF(AND($C12&gt;$D12,AL12&gt;AM12),'Tabla general'!$L$4,IF(AND($D12&gt;$C12,AM12&gt;AL12),'Tabla general'!$L$4,IF(AND($C12=$D12,AL12=AM12),'Tabla general'!$L$4,0))) + IF(AND($C12=AL12,$D12=AM12),'Tabla general'!$L$5,0))</f>
        <v>0</v>
      </c>
      <c r="AO12" s="38"/>
      <c r="AP12" s="38"/>
      <c r="AQ12" s="37">
        <f>IF(AND($C12="",$D12=""),0,IF(AND($C12&gt;$D12,AO12&gt;AP12),'Tabla general'!$L$4,IF(AND($D12&gt;$C12,AP12&gt;AO12),'Tabla general'!$L$4,IF(AND($C12=$D12,AO12=AP12),'Tabla general'!$L$4,0))) + IF(AND($C12=AO12,$D12=AP12),'Tabla general'!$L$5,0))</f>
        <v>0</v>
      </c>
      <c r="AR12" s="38"/>
      <c r="AS12" s="38"/>
      <c r="AT12" s="34">
        <f>IF(AND($C12="",$D12=""),0,IF(AND($C12&gt;$D12,AR12&gt;AS12),'Tabla general'!$L$4,IF(AND($D12&gt;$C12,AS12&gt;AR12),'Tabla general'!$L$4,IF(AND($C12=$D12,AR12=AS12),'Tabla general'!$L$4,0))) + IF(AND($C12=AR12,$D12=AS12),'Tabla general'!$L$5,0))</f>
        <v>0</v>
      </c>
      <c r="AU12" s="38"/>
      <c r="AV12" s="38"/>
      <c r="AW12" s="35">
        <f>IF(AND($C12="",$D12=""),0,IF(AND($C12&gt;$D12,AU12&gt;AV12),'Tabla general'!$L$4,IF(AND($D12&gt;$C12,AV12&gt;AU12),'Tabla general'!$L$4,IF(AND($C12=$D12,AU12=AV12),'Tabla general'!$L$4,0))) + IF(AND($C12=AU12,$D12=AV12),'Tabla general'!$L$5,0))</f>
        <v>0</v>
      </c>
      <c r="AX12" s="48"/>
      <c r="AY12" s="46"/>
      <c r="AZ12" s="35">
        <f>IF(AND($C12="",$D12=""),0,IF(AND($C12&gt;$D12,AX12&gt;AY12),'Tabla general'!$L$4,IF(AND($D12&gt;$C12,AY12&gt;AX12),'Tabla general'!$L$4,IF(AND($C12=$D12,AX12=AY12),'Tabla general'!$L$4,0))) + IF(AND($C12=AX12,$D12=AY12),'Tabla general'!$L$5,0))</f>
        <v>0</v>
      </c>
    </row>
    <row r="13" spans="1:52">
      <c r="A13" s="2"/>
      <c r="B13" s="2"/>
      <c r="C13" s="49"/>
      <c r="D13" s="50"/>
      <c r="E13" s="38"/>
      <c r="F13" s="38"/>
      <c r="G13" s="39">
        <f>IF(AND($C13="",$D13=""),0,IF(AND($C13&gt;$D13,E13&gt;F13),'Tabla general'!$L$4,IF(AND($D13&gt;$C13,F13&gt;E13),'Tabla general'!$L$4,IF(AND($C13=$D13,E13=F13),'Tabla general'!$L$4,0))) + IF(AND($C13=E13,$D13=F13),'Tabla general'!$L$5,0))</f>
        <v>0</v>
      </c>
      <c r="H13" s="38"/>
      <c r="I13" s="38"/>
      <c r="J13" s="26">
        <f>IF(AND($C13="",$D13=""),0,IF(AND($C13&gt;$D13,H13&gt;I13),'Tabla general'!$L$4,IF(AND($D13&gt;$C13,I13&gt;H13),'Tabla general'!$L$4,IF(AND($C13=$D13,H13=I13),'Tabla general'!$L$4,0))) + IF(AND($C13=H13,$D13=I13),'Tabla general'!$L$5,0))</f>
        <v>0</v>
      </c>
      <c r="K13" s="38"/>
      <c r="L13" s="38"/>
      <c r="M13" s="27">
        <f>IF(AND($C13="",$D13=""),0,IF(AND($C13&gt;$D13,K13&gt;L13),'Tabla general'!$L$4,IF(AND($D13&gt;$C13,L13&gt;K13),'Tabla general'!$L$4,IF(AND($C13=$D13,K13=L13),'Tabla general'!$L$4,0))) + IF(AND($C13=K13,$D13=L13),'Tabla general'!$L$5,0))</f>
        <v>0</v>
      </c>
      <c r="N13" s="38"/>
      <c r="O13" s="38"/>
      <c r="P13" s="28">
        <f>IF(AND($C13="",$D13=""),0,IF(AND($C13&gt;$D13,N13&gt;O13),'Tabla general'!$L$4,IF(AND($D13&gt;$C13,O13&gt;N13),'Tabla general'!$L$4,IF(AND($C13=$D13,N13=O13),'Tabla general'!$L$4,0))) + IF(AND($C13=N13,$D13=O13),'Tabla general'!$L$5,0))</f>
        <v>0</v>
      </c>
      <c r="Q13" s="38"/>
      <c r="R13" s="38"/>
      <c r="S13" s="29">
        <f>IF(AND($C13="",$D13=""),0,IF(AND($C13&gt;$D13,Q13&gt;R13),'Tabla general'!$L$4,IF(AND($D13&gt;$C13,R13&gt;Q13),'Tabla general'!$L$4,IF(AND($C13=$D13,Q13=R13),'Tabla general'!$L$4,0))) + IF(AND($C13=Q13,$D13=R13),'Tabla general'!$L$5,0))</f>
        <v>0</v>
      </c>
      <c r="T13" s="38"/>
      <c r="U13" s="38"/>
      <c r="V13" s="30">
        <f>IF(AND($C13="",$D13=""),0,IF(AND($C13&gt;$D13,T13&gt;U13),'Tabla general'!$L$4,IF(AND($D13&gt;$C13,U13&gt;T13),'Tabla general'!$L$4,IF(AND($C13=$D13,T13=U13),'Tabla general'!$L$4,0))) + IF(AND($C13=T13,$D13=U13),'Tabla general'!$L$5,0))</f>
        <v>0</v>
      </c>
      <c r="W13" s="38"/>
      <c r="X13" s="38"/>
      <c r="Y13" s="31">
        <f>IF(AND($C13="",$D13=""),0,IF(AND($C13&gt;$D13,W13&gt;X13),'Tabla general'!$L$4,IF(AND($D13&gt;$C13,X13&gt;W13),'Tabla general'!$L$4,IF(AND($C13=$D13,W13=X13),'Tabla general'!$L$4,0))) + IF(AND($C13=W13,$D13=X13),'Tabla general'!$L$5,0))</f>
        <v>0</v>
      </c>
      <c r="Z13" s="38"/>
      <c r="AA13" s="38"/>
      <c r="AB13" s="32">
        <f>IF(AND($C13="",$D13=""),0,IF(AND($C13&gt;$D13,Z13&gt;AA13),'Tabla general'!$L$4,IF(AND($D13&gt;$C13,AA13&gt;Z13),'Tabla general'!$L$4,IF(AND($C13=$D13,Z13=AA13),'Tabla general'!$L$4,0))) + IF(AND($C13=Z13,$D13=AA13),'Tabla general'!$L$5,0))</f>
        <v>0</v>
      </c>
      <c r="AC13" s="38"/>
      <c r="AD13" s="38"/>
      <c r="AE13" s="33">
        <f>IF(AND($C13="",$D13=""),0,IF(AND($C13&gt;$D13,AC13&gt;AD13),'Tabla general'!$L$4,IF(AND($D13&gt;$C13,AD13&gt;AC13),'Tabla general'!$L$4,IF(AND($C13=$D13,AC13=AD13),'Tabla general'!$L$4,0))) + IF(AND($C13=AC13,$D13=AD13),'Tabla general'!$L$5,0))</f>
        <v>0</v>
      </c>
      <c r="AF13" s="38"/>
      <c r="AG13" s="38"/>
      <c r="AH13" s="34">
        <f>IF(AND($C13="",$D13=""),0,IF(AND($C13&gt;$D13,AF13&gt;AG13),'Tabla general'!$L$4,IF(AND($D13&gt;$C13,AG13&gt;AF13),'Tabla general'!$L$4,IF(AND($C13=$D13,AF13=AG13),'Tabla general'!$L$4,0))) + IF(AND($C13=AF13,$D13=AG13),'Tabla general'!$L$5,0))</f>
        <v>0</v>
      </c>
      <c r="AI13" s="38"/>
      <c r="AJ13" s="38"/>
      <c r="AK13" s="35">
        <f>IF(AND($C13="",$D13=""),0,IF(AND($C13&gt;$D13,AI13&gt;AJ13),'Tabla general'!$L$4,IF(AND($D13&gt;$C13,AJ13&gt;AI13),'Tabla general'!$L$4,IF(AND($C13=$D13,AI13=AJ13),'Tabla general'!$L$4,0))) + IF(AND($C13=AI13,$D13=AJ13),'Tabla general'!$L$5,0))</f>
        <v>0</v>
      </c>
      <c r="AL13" s="38"/>
      <c r="AM13" s="38"/>
      <c r="AN13" s="36">
        <f>IF(AND($C13="",$D13=""),0,IF(AND($C13&gt;$D13,AL13&gt;AM13),'Tabla general'!$L$4,IF(AND($D13&gt;$C13,AM13&gt;AL13),'Tabla general'!$L$4,IF(AND($C13=$D13,AL13=AM13),'Tabla general'!$L$4,0))) + IF(AND($C13=AL13,$D13=AM13),'Tabla general'!$L$5,0))</f>
        <v>0</v>
      </c>
      <c r="AO13" s="38"/>
      <c r="AP13" s="38"/>
      <c r="AQ13" s="37">
        <f>IF(AND($C13="",$D13=""),0,IF(AND($C13&gt;$D13,AO13&gt;AP13),'Tabla general'!$L$4,IF(AND($D13&gt;$C13,AP13&gt;AO13),'Tabla general'!$L$4,IF(AND($C13=$D13,AO13=AP13),'Tabla general'!$L$4,0))) + IF(AND($C13=AO13,$D13=AP13),'Tabla general'!$L$5,0))</f>
        <v>0</v>
      </c>
      <c r="AR13" s="38"/>
      <c r="AS13" s="38"/>
      <c r="AT13" s="34">
        <f>IF(AND($C13="",$D13=""),0,IF(AND($C13&gt;$D13,AR13&gt;AS13),'Tabla general'!$L$4,IF(AND($D13&gt;$C13,AS13&gt;AR13),'Tabla general'!$L$4,IF(AND($C13=$D13,AR13=AS13),'Tabla general'!$L$4,0))) + IF(AND($C13=AR13,$D13=AS13),'Tabla general'!$L$5,0))</f>
        <v>0</v>
      </c>
      <c r="AU13" s="38"/>
      <c r="AV13" s="38"/>
      <c r="AW13" s="35">
        <f>IF(AND($C13="",$D13=""),0,IF(AND($C13&gt;$D13,AU13&gt;AV13),'Tabla general'!$L$4,IF(AND($D13&gt;$C13,AV13&gt;AU13),'Tabla general'!$L$4,IF(AND($C13=$D13,AU13=AV13),'Tabla general'!$L$4,0))) + IF(AND($C13=AU13,$D13=AV13),'Tabla general'!$L$5,0))</f>
        <v>0</v>
      </c>
      <c r="AX13" s="48"/>
      <c r="AY13" s="46"/>
      <c r="AZ13" s="35">
        <f>IF(AND($C13="",$D13=""),0,IF(AND($C13&gt;$D13,AX13&gt;AY13),'Tabla general'!$L$4,IF(AND($D13&gt;$C13,AY13&gt;AX13),'Tabla general'!$L$4,IF(AND($C13=$D13,AX13=AY13),'Tabla general'!$L$4,0))) + IF(AND($C13=AX13,$D13=AY13),'Tabla general'!$L$5,0))</f>
        <v>0</v>
      </c>
    </row>
    <row r="14" spans="1:52">
      <c r="A14" s="2"/>
      <c r="B14" s="2"/>
      <c r="C14" s="2"/>
      <c r="D14" s="2"/>
      <c r="E14" s="160" t="s">
        <v>36</v>
      </c>
      <c r="F14" s="161"/>
      <c r="G14" s="40">
        <f>SUM(G$6:G$13,G$4)</f>
        <v>0</v>
      </c>
      <c r="H14" s="41"/>
      <c r="I14" s="41"/>
      <c r="J14" s="11">
        <f>SUM(J$6:J$13,J$4)</f>
        <v>0</v>
      </c>
      <c r="K14" s="42"/>
      <c r="L14" s="11"/>
      <c r="M14" s="11">
        <f>SUM(M$6:M$13,M$4)</f>
        <v>0</v>
      </c>
      <c r="N14" s="11"/>
      <c r="O14" s="11"/>
      <c r="P14" s="11">
        <f>SUM(P$6:P$13,P$4)</f>
        <v>0</v>
      </c>
      <c r="Q14" s="11"/>
      <c r="R14" s="11"/>
      <c r="S14" s="11">
        <f>SUM(S$6:S$13,S$4)</f>
        <v>0</v>
      </c>
      <c r="T14" s="11"/>
      <c r="U14" s="11"/>
      <c r="V14" s="11">
        <f>SUM(V$6:V$13,V$4)</f>
        <v>0</v>
      </c>
      <c r="W14" s="11"/>
      <c r="X14" s="11"/>
      <c r="Y14" s="11">
        <f>SUM(Y$6:Y$13,Y$4)</f>
        <v>0</v>
      </c>
      <c r="Z14" s="11"/>
      <c r="AA14" s="11"/>
      <c r="AB14" s="11">
        <f>SUM(AB$6:AB$13,AB$4)</f>
        <v>0</v>
      </c>
      <c r="AC14" s="11"/>
      <c r="AD14" s="11"/>
      <c r="AE14" s="11">
        <f>SUM(AE$6:AE$13,AE$4)</f>
        <v>0</v>
      </c>
      <c r="AF14" s="11"/>
      <c r="AG14" s="11"/>
      <c r="AH14" s="11">
        <f>SUM(AH$6:AH$13,AH$4)</f>
        <v>0</v>
      </c>
      <c r="AI14" s="11"/>
      <c r="AJ14" s="11"/>
      <c r="AK14" s="11">
        <f>SUM(AK$6:AK$13,AK$4)</f>
        <v>0</v>
      </c>
      <c r="AL14" s="11"/>
      <c r="AM14" s="11"/>
      <c r="AN14" s="11">
        <f>SUM(AN$6:AN$13,AN$4)</f>
        <v>0</v>
      </c>
      <c r="AO14" s="11"/>
      <c r="AP14" s="11"/>
      <c r="AQ14" s="11">
        <f>SUM(AQ$6:AQ$13,AQ$4)</f>
        <v>0</v>
      </c>
      <c r="AR14" s="11"/>
      <c r="AS14" s="11"/>
      <c r="AT14" s="11">
        <f>SUM(AT$6:AT$13,AT$4)</f>
        <v>0</v>
      </c>
      <c r="AU14" s="11"/>
      <c r="AV14" s="11"/>
      <c r="AW14" s="11">
        <f>SUM(AW$6:AW$13,AW$4)</f>
        <v>0</v>
      </c>
      <c r="AX14" s="2"/>
      <c r="AY14" s="2"/>
      <c r="AZ14" s="2">
        <f>SUM(AZ$6:AZ$13,AZ$4)</f>
        <v>0</v>
      </c>
    </row>
  </sheetData>
  <mergeCells count="54">
    <mergeCell ref="H3:I3"/>
    <mergeCell ref="K3:L3"/>
    <mergeCell ref="N3:O3"/>
    <mergeCell ref="Q3:R3"/>
    <mergeCell ref="AR3:AS3"/>
    <mergeCell ref="AU3:AV3"/>
    <mergeCell ref="AX3:AY3"/>
    <mergeCell ref="C4:D4"/>
    <mergeCell ref="E4:F4"/>
    <mergeCell ref="H4:I4"/>
    <mergeCell ref="K4:L4"/>
    <mergeCell ref="N4:O4"/>
    <mergeCell ref="T3:U3"/>
    <mergeCell ref="W3:X3"/>
    <mergeCell ref="Z3:AA3"/>
    <mergeCell ref="AC3:AD3"/>
    <mergeCell ref="AF3:AG3"/>
    <mergeCell ref="AI3:AJ3"/>
    <mergeCell ref="C3:D3"/>
    <mergeCell ref="E3:F3"/>
    <mergeCell ref="AR4:AS4"/>
    <mergeCell ref="AU4:AV4"/>
    <mergeCell ref="AX4:AY4"/>
    <mergeCell ref="Q4:R4"/>
    <mergeCell ref="T4:U4"/>
    <mergeCell ref="W4:X4"/>
    <mergeCell ref="Z4:AA4"/>
    <mergeCell ref="AC4:AD4"/>
    <mergeCell ref="AF4:AG4"/>
    <mergeCell ref="AR5:AS5"/>
    <mergeCell ref="AU5:AV5"/>
    <mergeCell ref="AX5:AY5"/>
    <mergeCell ref="Q5:R5"/>
    <mergeCell ref="T5:U5"/>
    <mergeCell ref="W5:X5"/>
    <mergeCell ref="Z5:AA5"/>
    <mergeCell ref="AC5:AD5"/>
    <mergeCell ref="AF5:AG5"/>
    <mergeCell ref="E14:F14"/>
    <mergeCell ref="A1:D1"/>
    <mergeCell ref="AI5:AJ5"/>
    <mergeCell ref="AL5:AM5"/>
    <mergeCell ref="AO5:AP5"/>
    <mergeCell ref="A5:B5"/>
    <mergeCell ref="C5:D5"/>
    <mergeCell ref="E5:F5"/>
    <mergeCell ref="H5:I5"/>
    <mergeCell ref="K5:L5"/>
    <mergeCell ref="N5:O5"/>
    <mergeCell ref="AI4:AJ4"/>
    <mergeCell ref="AL4:AM4"/>
    <mergeCell ref="AO4:AP4"/>
    <mergeCell ref="AL3:AM3"/>
    <mergeCell ref="AO3:AP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4"/>
  <sheetViews>
    <sheetView workbookViewId="0">
      <pane xSplit="4" topLeftCell="E1" activePane="topRight" state="frozen"/>
      <selection pane="topRight" activeCell="C18" sqref="C18"/>
    </sheetView>
  </sheetViews>
  <sheetFormatPr defaultColWidth="11.42578125" defaultRowHeight="15"/>
  <cols>
    <col min="1" max="1" width="19.5703125" customWidth="1"/>
    <col min="2" max="2" width="18.140625" bestFit="1" customWidth="1"/>
    <col min="5" max="43" width="11.42578125" style="43" customWidth="1"/>
    <col min="44" max="49" width="11.42578125" style="43"/>
    <col min="50" max="52" width="11.42578125" customWidth="1"/>
  </cols>
  <sheetData>
    <row r="1" spans="1:52" ht="100.9" customHeight="1">
      <c r="A1" s="115" t="s">
        <v>109</v>
      </c>
      <c r="B1" s="116"/>
      <c r="C1" s="116"/>
      <c r="D1" s="117"/>
      <c r="E1" s="10"/>
      <c r="F1" s="10"/>
      <c r="G1" s="10"/>
      <c r="H1" s="10"/>
      <c r="I1" s="10"/>
      <c r="J1" s="10"/>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2"/>
      <c r="AY1" s="2"/>
      <c r="AZ1" s="2"/>
    </row>
    <row r="2" spans="1:52">
      <c r="A2" s="2"/>
      <c r="B2" s="2" t="s">
        <v>64</v>
      </c>
      <c r="C2" s="2"/>
      <c r="D2" s="6"/>
      <c r="E2" s="52"/>
      <c r="F2" s="53"/>
      <c r="G2" s="54">
        <v>1</v>
      </c>
      <c r="H2" s="55"/>
      <c r="I2" s="56"/>
      <c r="J2" s="57">
        <v>2</v>
      </c>
      <c r="K2" s="58"/>
      <c r="L2" s="59"/>
      <c r="M2" s="60">
        <v>3</v>
      </c>
      <c r="N2" s="61"/>
      <c r="O2" s="62"/>
      <c r="P2" s="63">
        <v>4</v>
      </c>
      <c r="Q2" s="64"/>
      <c r="R2" s="65"/>
      <c r="S2" s="66">
        <v>5</v>
      </c>
      <c r="T2" s="67"/>
      <c r="U2" s="68"/>
      <c r="V2" s="69">
        <v>6</v>
      </c>
      <c r="W2" s="70">
        <v>7</v>
      </c>
      <c r="X2" s="71"/>
      <c r="Y2" s="72"/>
      <c r="Z2" s="73"/>
      <c r="AA2" s="74"/>
      <c r="AB2" s="75">
        <v>7</v>
      </c>
      <c r="AC2" s="76"/>
      <c r="AD2" s="77"/>
      <c r="AE2" s="78">
        <v>8</v>
      </c>
      <c r="AF2" s="79"/>
      <c r="AG2" s="80"/>
      <c r="AH2" s="81">
        <v>9</v>
      </c>
      <c r="AI2" s="82"/>
      <c r="AJ2" s="83"/>
      <c r="AK2" s="84">
        <v>10</v>
      </c>
      <c r="AL2" s="85"/>
      <c r="AM2" s="86"/>
      <c r="AN2" s="87">
        <v>11</v>
      </c>
      <c r="AO2" s="88"/>
      <c r="AP2" s="89"/>
      <c r="AQ2" s="90">
        <v>12</v>
      </c>
      <c r="AR2" s="79"/>
      <c r="AS2" s="80"/>
      <c r="AT2" s="81">
        <v>13</v>
      </c>
      <c r="AU2" s="91"/>
      <c r="AV2" s="91"/>
      <c r="AW2" s="91">
        <v>14</v>
      </c>
      <c r="AX2" s="92"/>
      <c r="AY2" s="92"/>
      <c r="AZ2" s="92">
        <v>15</v>
      </c>
    </row>
    <row r="3" spans="1:52">
      <c r="A3" s="2"/>
      <c r="B3" s="2" t="s">
        <v>65</v>
      </c>
      <c r="C3" s="133" t="s">
        <v>66</v>
      </c>
      <c r="D3" s="134"/>
      <c r="E3" s="135" t="str">
        <f>VLOOKUP(G$2,[0]!participantes,2)</f>
        <v>Noemi Padilla</v>
      </c>
      <c r="F3" s="135"/>
      <c r="G3" s="112" t="s">
        <v>59</v>
      </c>
      <c r="H3" s="138" t="str">
        <f>VLOOKUP(J$2,[0]!participantes,2)</f>
        <v>Fabricio Ruíz</v>
      </c>
      <c r="I3" s="139"/>
      <c r="J3" s="12" t="s">
        <v>59</v>
      </c>
      <c r="K3" s="140" t="str">
        <f>VLOOKUP(M$2,[0]!participantes,2)</f>
        <v>Adrian Molina</v>
      </c>
      <c r="L3" s="141"/>
      <c r="M3" s="13" t="s">
        <v>59</v>
      </c>
      <c r="N3" s="142" t="str">
        <f>VLOOKUP(P$2,[0]!participantes,2)</f>
        <v>Ezequiel Manzo</v>
      </c>
      <c r="O3" s="143"/>
      <c r="P3" s="14" t="s">
        <v>59</v>
      </c>
      <c r="Q3" s="162" t="str">
        <f>VLOOKUP(S$2,[0]!participantes,2)</f>
        <v>Ricardo Guerra</v>
      </c>
      <c r="R3" s="163"/>
      <c r="S3" s="15" t="s">
        <v>59</v>
      </c>
      <c r="T3" s="164" t="str">
        <f>VLOOKUP(V$2,[0]!participantes,2)</f>
        <v>Mario</v>
      </c>
      <c r="U3" s="165"/>
      <c r="V3" s="16" t="s">
        <v>59</v>
      </c>
      <c r="W3" s="166" t="str">
        <f>VLOOKUP(W$2,[0]!participantes,2)</f>
        <v>Alejandro Cruz</v>
      </c>
      <c r="X3" s="167"/>
      <c r="Y3" s="17" t="s">
        <v>59</v>
      </c>
      <c r="Z3" s="168" t="str">
        <f>VLOOKUP(AB$2,[0]!participantes,2)</f>
        <v>Alejandro Cruz</v>
      </c>
      <c r="AA3" s="169"/>
      <c r="AB3" s="18" t="s">
        <v>59</v>
      </c>
      <c r="AC3" s="156" t="str">
        <f>VLOOKUP(AE$2,[0]!participantes,2)</f>
        <v>Antonio Lopez</v>
      </c>
      <c r="AD3" s="157"/>
      <c r="AE3" s="19" t="s">
        <v>59</v>
      </c>
      <c r="AF3" s="126" t="str">
        <f>VLOOKUP(AH$2,[0]!participantes,2)</f>
        <v>Christian</v>
      </c>
      <c r="AG3" s="127"/>
      <c r="AH3" s="20" t="s">
        <v>59</v>
      </c>
      <c r="AI3" s="158" t="str">
        <f>VLOOKUP(AK$2,[0]!participantes,2)</f>
        <v>Kevin Salomón</v>
      </c>
      <c r="AJ3" s="159"/>
      <c r="AK3" s="110" t="s">
        <v>59</v>
      </c>
      <c r="AL3" s="122" t="str">
        <f>VLOOKUP(AN$2,[0]!participantes,2)</f>
        <v>Emmanuel</v>
      </c>
      <c r="AM3" s="123"/>
      <c r="AN3" s="21" t="s">
        <v>59</v>
      </c>
      <c r="AO3" s="124" t="str">
        <f>VLOOKUP(AQ$2,[0]!participantes,2)</f>
        <v>Miguel Villafuerte</v>
      </c>
      <c r="AP3" s="125"/>
      <c r="AQ3" s="22" t="s">
        <v>59</v>
      </c>
      <c r="AR3" s="126" t="str">
        <f>VLOOKUP(AT$2,[0]!participantes,2)</f>
        <v>David Perez</v>
      </c>
      <c r="AS3" s="127"/>
      <c r="AT3" s="20" t="s">
        <v>59</v>
      </c>
      <c r="AU3" s="118" t="str">
        <f>VLOOKUP(AW$2,[0]!participantes,2)</f>
        <v>-</v>
      </c>
      <c r="AV3" s="118"/>
      <c r="AW3" s="23" t="s">
        <v>59</v>
      </c>
      <c r="AX3" s="118" t="str">
        <f>VLOOKUP(AZ$2,[0]!participantes,2)</f>
        <v>-</v>
      </c>
      <c r="AY3" s="118"/>
      <c r="AZ3" s="3" t="s">
        <v>59</v>
      </c>
    </row>
    <row r="4" spans="1:52" ht="15.75" thickBot="1">
      <c r="A4" s="4"/>
      <c r="B4" s="4" t="s">
        <v>67</v>
      </c>
      <c r="C4" s="136"/>
      <c r="D4" s="137"/>
      <c r="E4" s="128">
        <f>SUM(E6:F13)</f>
        <v>0</v>
      </c>
      <c r="F4" s="129"/>
      <c r="G4" s="24">
        <f>IF($C$4&lt;&gt;"",IF(E4=$C$4,'Tabla general'!$L$6,0), 0)</f>
        <v>0</v>
      </c>
      <c r="H4" s="128">
        <f>SUM(H6:I13)</f>
        <v>0</v>
      </c>
      <c r="I4" s="129"/>
      <c r="J4" s="24">
        <f>IF($C$4&lt;&gt;"",IF(H4=$C$4,'Tabla general'!$L$6,0), 0)</f>
        <v>0</v>
      </c>
      <c r="K4" s="128">
        <f>SUM(K6:L13)</f>
        <v>0</v>
      </c>
      <c r="L4" s="129"/>
      <c r="M4" s="24">
        <f>IF($C$4&lt;&gt;"",IF(K4=$C$4,'Tabla general'!$L$6,0), 0)</f>
        <v>0</v>
      </c>
      <c r="N4" s="128">
        <f>SUM(N6:O13)</f>
        <v>0</v>
      </c>
      <c r="O4" s="129"/>
      <c r="P4" s="24">
        <f>IF($C$4&lt;&gt;"",IF(N4=$C$4,'Tabla general'!$L$6,0), 0)</f>
        <v>0</v>
      </c>
      <c r="Q4" s="128">
        <f>SUM(Q6:R13)</f>
        <v>0</v>
      </c>
      <c r="R4" s="129"/>
      <c r="S4" s="24">
        <f>IF($C$4&lt;&gt;"",IF(Q4=$C$4,'Tabla general'!$L$6,0), 0)</f>
        <v>0</v>
      </c>
      <c r="T4" s="128">
        <f>SUM(T6:U13)</f>
        <v>0</v>
      </c>
      <c r="U4" s="129"/>
      <c r="V4" s="24">
        <f>IF($C$4&lt;&gt;"",IF(T4=$C$4,'Tabla general'!$L$6,0), 0)</f>
        <v>0</v>
      </c>
      <c r="W4" s="128">
        <f>SUM(W6:X13)</f>
        <v>0</v>
      </c>
      <c r="X4" s="129"/>
      <c r="Y4" s="24">
        <f>IF($C$4&lt;&gt;"",IF(W4=$C$4,'Tabla general'!$L$6,0), 0)</f>
        <v>0</v>
      </c>
      <c r="Z4" s="128">
        <f>SUM(Z6:AA13)</f>
        <v>0</v>
      </c>
      <c r="AA4" s="129"/>
      <c r="AB4" s="24">
        <f>IF($C$4&lt;&gt;"",IF(Z4=$C$4,'Tabla general'!$L$6,0), 0)</f>
        <v>0</v>
      </c>
      <c r="AC4" s="128">
        <f>SUM(AC6:AD13)</f>
        <v>0</v>
      </c>
      <c r="AD4" s="129"/>
      <c r="AE4" s="24">
        <f>IF($C$4&lt;&gt;"",IF(AC4=$C$4,'Tabla general'!$L$6,0), 0)</f>
        <v>0</v>
      </c>
      <c r="AF4" s="128">
        <f>SUM(AF6:AG13)</f>
        <v>0</v>
      </c>
      <c r="AG4" s="129"/>
      <c r="AH4" s="24">
        <f>IF($C$4&lt;&gt;"",IF(AF4=$C$4,'Tabla general'!$L$6,0), 0)</f>
        <v>0</v>
      </c>
      <c r="AI4" s="128">
        <f>SUM(AI6:AJ13)</f>
        <v>0</v>
      </c>
      <c r="AJ4" s="129"/>
      <c r="AK4" s="24">
        <f>IF($C$4&lt;&gt;"",IF(AI4=$C$4,'Tabla general'!$L$6,0), 0)</f>
        <v>0</v>
      </c>
      <c r="AL4" s="128">
        <f>SUM(AL6:AM13)</f>
        <v>0</v>
      </c>
      <c r="AM4" s="129"/>
      <c r="AN4" s="24">
        <f>IF($C$4&lt;&gt;"",IF(AL4=$C$4,'Tabla general'!$L$6,0), 0)</f>
        <v>0</v>
      </c>
      <c r="AO4" s="128">
        <f>SUM(AO6:AP13)</f>
        <v>0</v>
      </c>
      <c r="AP4" s="129"/>
      <c r="AQ4" s="24">
        <f>IF($C$4&lt;&gt;"",IF(AO4=$C$4,'Tabla general'!$L$6,0), 0)</f>
        <v>0</v>
      </c>
      <c r="AR4" s="128">
        <f>SUM(AR6:AS13)</f>
        <v>0</v>
      </c>
      <c r="AS4" s="129"/>
      <c r="AT4" s="24">
        <f>IF($C$4&lt;&gt;"",IF(AR4=$C$4,'Tabla general'!$L$6,0), 0)</f>
        <v>0</v>
      </c>
      <c r="AU4" s="128">
        <f>SUM(AU6:AV13)</f>
        <v>0</v>
      </c>
      <c r="AV4" s="129"/>
      <c r="AW4" s="24">
        <f>IF($C$4&lt;&gt;"",IF(AU4=$C$4,'Tabla general'!$L$6,0), 0)</f>
        <v>0</v>
      </c>
      <c r="AX4" s="119">
        <f>SUM(AX6:AY13)</f>
        <v>0</v>
      </c>
      <c r="AY4" s="120"/>
      <c r="AZ4" s="24">
        <f>IF($C$4&lt;&gt;"",IF(AX4=$C$4,'Tabla general'!$L$6,0), 0)</f>
        <v>0</v>
      </c>
    </row>
    <row r="5" spans="1:52" s="7" customFormat="1" ht="15.75" thickBot="1">
      <c r="A5" s="132" t="s">
        <v>68</v>
      </c>
      <c r="B5" s="132"/>
      <c r="C5" s="133" t="s">
        <v>69</v>
      </c>
      <c r="D5" s="134"/>
      <c r="E5" s="144" t="s">
        <v>70</v>
      </c>
      <c r="F5" s="144"/>
      <c r="G5" s="103" t="s">
        <v>59</v>
      </c>
      <c r="H5" s="145" t="s">
        <v>70</v>
      </c>
      <c r="I5" s="145"/>
      <c r="J5" s="104" t="s">
        <v>59</v>
      </c>
      <c r="K5" s="146" t="s">
        <v>70</v>
      </c>
      <c r="L5" s="147"/>
      <c r="M5" s="105" t="s">
        <v>59</v>
      </c>
      <c r="N5" s="148" t="s">
        <v>70</v>
      </c>
      <c r="O5" s="148"/>
      <c r="P5" s="106" t="s">
        <v>59</v>
      </c>
      <c r="Q5" s="151" t="s">
        <v>70</v>
      </c>
      <c r="R5" s="151"/>
      <c r="S5" s="98" t="s">
        <v>59</v>
      </c>
      <c r="T5" s="152" t="s">
        <v>70</v>
      </c>
      <c r="U5" s="152"/>
      <c r="V5" s="99" t="s">
        <v>59</v>
      </c>
      <c r="W5" s="153" t="s">
        <v>70</v>
      </c>
      <c r="X5" s="153"/>
      <c r="Y5" s="100" t="s">
        <v>59</v>
      </c>
      <c r="Z5" s="154" t="s">
        <v>70</v>
      </c>
      <c r="AA5" s="154"/>
      <c r="AB5" s="101" t="s">
        <v>59</v>
      </c>
      <c r="AC5" s="155" t="s">
        <v>70</v>
      </c>
      <c r="AD5" s="155"/>
      <c r="AE5" s="102" t="s">
        <v>59</v>
      </c>
      <c r="AF5" s="130" t="s">
        <v>70</v>
      </c>
      <c r="AG5" s="130"/>
      <c r="AH5" s="107" t="s">
        <v>59</v>
      </c>
      <c r="AI5" s="131" t="s">
        <v>70</v>
      </c>
      <c r="AJ5" s="131"/>
      <c r="AK5" s="108" t="s">
        <v>59</v>
      </c>
      <c r="AL5" s="149" t="s">
        <v>70</v>
      </c>
      <c r="AM5" s="149"/>
      <c r="AN5" s="109" t="s">
        <v>59</v>
      </c>
      <c r="AO5" s="150" t="s">
        <v>70</v>
      </c>
      <c r="AP5" s="150"/>
      <c r="AQ5" s="97" t="s">
        <v>59</v>
      </c>
      <c r="AR5" s="130" t="s">
        <v>70</v>
      </c>
      <c r="AS5" s="130"/>
      <c r="AT5" s="107" t="s">
        <v>59</v>
      </c>
      <c r="AU5" s="131" t="s">
        <v>70</v>
      </c>
      <c r="AV5" s="131"/>
      <c r="AW5" s="108" t="s">
        <v>59</v>
      </c>
      <c r="AX5" s="121" t="s">
        <v>70</v>
      </c>
      <c r="AY5" s="121"/>
      <c r="AZ5" s="111" t="s">
        <v>59</v>
      </c>
    </row>
    <row r="6" spans="1:52">
      <c r="A6" s="2"/>
      <c r="B6" s="2"/>
      <c r="C6" s="49"/>
      <c r="D6" s="50"/>
      <c r="E6" s="25"/>
      <c r="F6" s="25"/>
      <c r="G6" s="39">
        <f>IF(AND($C6="",$D6=""),0,IF(AND($C6&gt;$D6,E6&gt;F6),'Tabla general'!$L$4,IF(AND($D6&gt;$C6,F6&gt;E6),'Tabla general'!$L$4,IF(AND($C6=$D6,E6=F6),'Tabla general'!$L$4,0))) + IF(AND($C6=E6,$D6=F6),'Tabla general'!$L$5,0))</f>
        <v>0</v>
      </c>
      <c r="H6" s="25"/>
      <c r="I6" s="25"/>
      <c r="J6" s="26">
        <f>IF(AND($C6="",$D6=""),0,IF(AND($C6&gt;$D6,H6&gt;I6),'Tabla general'!$L$4,IF(AND($D6&gt;$C6,I6&gt;H6),'Tabla general'!$L$4,IF(AND($C6=$D6,H6=I6),'Tabla general'!$L$4,0))) + IF(AND($C6=H6,$D6=I6),'Tabla general'!$L$5,0))</f>
        <v>0</v>
      </c>
      <c r="K6" s="25"/>
      <c r="L6" s="25"/>
      <c r="M6" s="27">
        <f>IF(AND($C6="",$D6=""),0,IF(AND($C6&gt;$D6,K6&gt;L6),'Tabla general'!$L$4,IF(AND($D6&gt;$C6,L6&gt;K6),'Tabla general'!$L$4,IF(AND($C6=$D6,K6=L6),'Tabla general'!$L$4,0))) + IF(AND($C6=K6,$D6=L6),'Tabla general'!$L$5,0))</f>
        <v>0</v>
      </c>
      <c r="N6" s="25"/>
      <c r="O6" s="25"/>
      <c r="P6" s="28">
        <f>IF(AND($C6="",$D6=""),0,IF(AND($C6&gt;$D6,N6&gt;O6),'Tabla general'!$L$4,IF(AND($D6&gt;$C6,O6&gt;N6),'Tabla general'!$L$4,IF(AND($C6=$D6,N6=O6),'Tabla general'!$L$4,0))) + IF(AND($C6=N6,$D6=O6),'Tabla general'!$L$5,0))</f>
        <v>0</v>
      </c>
      <c r="Q6" s="25"/>
      <c r="R6" s="25"/>
      <c r="S6" s="29">
        <f>IF(AND($C6="",$D6=""),0,IF(AND($C6&gt;$D6,Q6&gt;R6),'Tabla general'!$L$4,IF(AND($D6&gt;$C6,R6&gt;Q6),'Tabla general'!$L$4,IF(AND($C6=$D6,Q6=R6),'Tabla general'!$L$4,0))) + IF(AND($C6=Q6,$D6=R6),'Tabla general'!$L$5,0))</f>
        <v>0</v>
      </c>
      <c r="T6" s="25"/>
      <c r="U6" s="25"/>
      <c r="V6" s="30">
        <f>IF(AND($C6="",$D6=""),0,IF(AND($C6&gt;$D6,T6&gt;U6),'Tabla general'!$L$4,IF(AND($D6&gt;$C6,U6&gt;T6),'Tabla general'!$L$4,IF(AND($C6=$D6,T6=U6),'Tabla general'!$L$4,0))) + IF(AND($C6=T6,$D6=U6),'Tabla general'!$L$5,0))</f>
        <v>0</v>
      </c>
      <c r="W6" s="25"/>
      <c r="X6" s="25"/>
      <c r="Y6" s="31">
        <f>IF(AND($C6="",$D6=""),0,IF(AND($C6&gt;$D6,W6&gt;X6),'Tabla general'!$L$4,IF(AND($D6&gt;$C6,X6&gt;W6),'Tabla general'!$L$4,IF(AND($C6=$D6,W6=X6),'Tabla general'!$L$4,0))) + IF(AND($C6=W6,$D6=X6),'Tabla general'!$L$5,0))</f>
        <v>0</v>
      </c>
      <c r="Z6" s="25"/>
      <c r="AA6" s="25"/>
      <c r="AB6" s="32">
        <f>IF(AND($C6="",$D6=""),0,IF(AND($C6&gt;$D6,Z6&gt;AA6),'Tabla general'!$L$4,IF(AND($D6&gt;$C6,AA6&gt;Z6),'Tabla general'!$L$4,IF(AND($C6=$D6,Z6=AA6),'Tabla general'!$L$4,0))) + IF(AND($C6=Z6,$D6=AA6),'Tabla general'!$L$5,0))</f>
        <v>0</v>
      </c>
      <c r="AC6" s="25"/>
      <c r="AD6" s="25"/>
      <c r="AE6" s="33">
        <f>IF(AND($C6="",$D6=""),0,IF(AND($C6&gt;$D6,AC6&gt;AD6),'Tabla general'!$L$4,IF(AND($D6&gt;$C6,AD6&gt;AC6),'Tabla general'!$L$4,IF(AND($C6=$D6,AC6=AD6),'Tabla general'!$L$4,0))) + IF(AND($C6=AC6,$D6=AD6),'Tabla general'!$L$5,0))</f>
        <v>0</v>
      </c>
      <c r="AF6" s="25"/>
      <c r="AG6" s="25"/>
      <c r="AH6" s="34">
        <f>IF(AND($C6="",$D6=""),0,IF(AND($C6&gt;$D6,AF6&gt;AG6),'Tabla general'!$L$4,IF(AND($D6&gt;$C6,AG6&gt;AF6),'Tabla general'!$L$4,IF(AND($C6=$D6,AF6=AG6),'Tabla general'!$L$4,0))) + IF(AND($C6=AF6,$D6=AG6),'Tabla general'!$L$5,0))</f>
        <v>0</v>
      </c>
      <c r="AI6" s="25"/>
      <c r="AJ6" s="25"/>
      <c r="AK6" s="35">
        <f>IF(AND($C6="",$D6=""),0,IF(AND($C6&gt;$D6,AI6&gt;AJ6),'Tabla general'!$L$4,IF(AND($D6&gt;$C6,AJ6&gt;AI6),'Tabla general'!$L$4,IF(AND($C6=$D6,AI6=AJ6),'Tabla general'!$L$4,0))) + IF(AND($C6=AI6,$D6=AJ6),'Tabla general'!$L$5,0))</f>
        <v>0</v>
      </c>
      <c r="AL6" s="25"/>
      <c r="AM6" s="25"/>
      <c r="AN6" s="36">
        <f>IF(AND($C6="",$D6=""),0,IF(AND($C6&gt;$D6,AL6&gt;AM6),'Tabla general'!$L$4,IF(AND($D6&gt;$C6,AM6&gt;AL6),'Tabla general'!$L$4,IF(AND($C6=$D6,AL6=AM6),'Tabla general'!$L$4,0))) + IF(AND($C6=AL6,$D6=AM6),'Tabla general'!$L$5,0))</f>
        <v>0</v>
      </c>
      <c r="AO6" s="25"/>
      <c r="AP6" s="25"/>
      <c r="AQ6" s="37">
        <f>IF(AND($C6="",$D6=""),0,IF(AND($C6&gt;$D6,AO6&gt;AP6),'Tabla general'!$L$4,IF(AND($D6&gt;$C6,AP6&gt;AO6),'Tabla general'!$L$4,IF(AND($C6=$D6,AO6=AP6),'Tabla general'!$L$4,0))) + IF(AND($C6=AO6,$D6=AP6),'Tabla general'!$L$5,0))</f>
        <v>0</v>
      </c>
      <c r="AR6" s="25"/>
      <c r="AS6" s="25"/>
      <c r="AT6" s="34">
        <f>IF(AND($C6="",$D6=""),0,IF(AND($C6&gt;$D6,AR6&gt;AS6),'Tabla general'!$L$4,IF(AND($D6&gt;$C6,AS6&gt;AR6),'Tabla general'!$L$4,IF(AND($C6=$D6,AR6=AS6),'Tabla general'!$L$4,0))) + IF(AND($C6=AR6,$D6=AS6),'Tabla general'!$L$5,0))</f>
        <v>0</v>
      </c>
      <c r="AU6" s="25"/>
      <c r="AV6" s="25"/>
      <c r="AW6" s="35">
        <f>IF(AND($C6="",$D6=""),0,IF(AND($C6&gt;$D6,AU6&gt;AV6),'Tabla general'!$L$4,IF(AND($D6&gt;$C6,AV6&gt;AU6),'Tabla general'!$L$4,IF(AND($C6=$D6,AU6=AV6),'Tabla general'!$L$4,0))) + IF(AND($C6=AU6,$D6=AV6),'Tabla general'!$L$5,0))</f>
        <v>0</v>
      </c>
      <c r="AX6" s="47"/>
      <c r="AY6" s="46"/>
      <c r="AZ6" s="35">
        <f>IF(AND($C6="",$D6=""),0,IF(AND($C6&gt;$D6,AX6&gt;AY6),'Tabla general'!$L$4,IF(AND($D6&gt;$C6,AY6&gt;AX6),'Tabla general'!$L$4,IF(AND($C6=$D6,AX6=AY6),'Tabla general'!$L$4,0))) + IF(AND($C6=AX6,$D6=AY6),'Tabla general'!$L$5,0))</f>
        <v>0</v>
      </c>
    </row>
    <row r="7" spans="1:52">
      <c r="A7" s="2"/>
      <c r="B7" s="2"/>
      <c r="C7" s="49"/>
      <c r="D7" s="50"/>
      <c r="E7" s="38"/>
      <c r="F7" s="38"/>
      <c r="G7" s="39">
        <f>IF(AND($C7="",$D7=""),0,IF(AND($C7&gt;$D7,E7&gt;F7),'Tabla general'!$L$4,IF(AND($D7&gt;$C7,F7&gt;E7),'Tabla general'!$L$4,IF(AND($C7=$D7,E7=F7),'Tabla general'!$L$4,0))) + IF(AND($C7=E7,$D7=F7),'Tabla general'!$L$5,0))</f>
        <v>0</v>
      </c>
      <c r="H7" s="38"/>
      <c r="I7" s="38"/>
      <c r="J7" s="26">
        <f>IF(AND($C7="",$D7=""),0,IF(AND($C7&gt;$D7,H7&gt;I7),'Tabla general'!$L$4,IF(AND($D7&gt;$C7,I7&gt;H7),'Tabla general'!$L$4,IF(AND($C7=$D7,H7=I7),'Tabla general'!$L$4,0))) + IF(AND($C7=H7,$D7=I7),'Tabla general'!$L$5,0))</f>
        <v>0</v>
      </c>
      <c r="K7" s="38"/>
      <c r="L7" s="38"/>
      <c r="M7" s="27">
        <f>IF(AND($C7="",$D7=""),0,IF(AND($C7&gt;$D7,K7&gt;L7),'Tabla general'!$L$4,IF(AND($D7&gt;$C7,L7&gt;K7),'Tabla general'!$L$4,IF(AND($C7=$D7,K7=L7),'Tabla general'!$L$4,0))) + IF(AND($C7=K7,$D7=L7),'Tabla general'!$L$5,0))</f>
        <v>0</v>
      </c>
      <c r="N7" s="38"/>
      <c r="O7" s="38"/>
      <c r="P7" s="28">
        <f>IF(AND($C7="",$D7=""),0,IF(AND($C7&gt;$D7,N7&gt;O7),'Tabla general'!$L$4,IF(AND($D7&gt;$C7,O7&gt;N7),'Tabla general'!$L$4,IF(AND($C7=$D7,N7=O7),'Tabla general'!$L$4,0))) + IF(AND($C7=N7,$D7=O7),'Tabla general'!$L$5,0))</f>
        <v>0</v>
      </c>
      <c r="Q7" s="38"/>
      <c r="R7" s="38"/>
      <c r="S7" s="29">
        <f>IF(AND($C7="",$D7=""),0,IF(AND($C7&gt;$D7,Q7&gt;R7),'Tabla general'!$L$4,IF(AND($D7&gt;$C7,R7&gt;Q7),'Tabla general'!$L$4,IF(AND($C7=$D7,Q7=R7),'Tabla general'!$L$4,0))) + IF(AND($C7=Q7,$D7=R7),'Tabla general'!$L$5,0))</f>
        <v>0</v>
      </c>
      <c r="T7" s="38"/>
      <c r="U7" s="38"/>
      <c r="V7" s="30">
        <f>IF(AND($C7="",$D7=""),0,IF(AND($C7&gt;$D7,T7&gt;U7),'Tabla general'!$L$4,IF(AND($D7&gt;$C7,U7&gt;T7),'Tabla general'!$L$4,IF(AND($C7=$D7,T7=U7),'Tabla general'!$L$4,0))) + IF(AND($C7=T7,$D7=U7),'Tabla general'!$L$5,0))</f>
        <v>0</v>
      </c>
      <c r="W7" s="38"/>
      <c r="X7" s="38"/>
      <c r="Y7" s="31">
        <f>IF(AND($C7="",$D7=""),0,IF(AND($C7&gt;$D7,W7&gt;X7),'Tabla general'!$L$4,IF(AND($D7&gt;$C7,X7&gt;W7),'Tabla general'!$L$4,IF(AND($C7=$D7,W7=X7),'Tabla general'!$L$4,0))) + IF(AND($C7=W7,$D7=X7),'Tabla general'!$L$5,0))</f>
        <v>0</v>
      </c>
      <c r="Z7" s="38"/>
      <c r="AA7" s="38"/>
      <c r="AB7" s="32">
        <f>IF(AND($C7="",$D7=""),0,IF(AND($C7&gt;$D7,Z7&gt;AA7),'Tabla general'!$L$4,IF(AND($D7&gt;$C7,AA7&gt;Z7),'Tabla general'!$L$4,IF(AND($C7=$D7,Z7=AA7),'Tabla general'!$L$4,0))) + IF(AND($C7=Z7,$D7=AA7),'Tabla general'!$L$5,0))</f>
        <v>0</v>
      </c>
      <c r="AC7" s="38"/>
      <c r="AD7" s="38"/>
      <c r="AE7" s="33">
        <f>IF(AND($C7="",$D7=""),0,IF(AND($C7&gt;$D7,AC7&gt;AD7),'Tabla general'!$L$4,IF(AND($D7&gt;$C7,AD7&gt;AC7),'Tabla general'!$L$4,IF(AND($C7=$D7,AC7=AD7),'Tabla general'!$L$4,0))) + IF(AND($C7=AC7,$D7=AD7),'Tabla general'!$L$5,0))</f>
        <v>0</v>
      </c>
      <c r="AF7" s="38"/>
      <c r="AG7" s="38"/>
      <c r="AH7" s="34">
        <f>IF(AND($C7="",$D7=""),0,IF(AND($C7&gt;$D7,AF7&gt;AG7),'Tabla general'!$L$4,IF(AND($D7&gt;$C7,AG7&gt;AF7),'Tabla general'!$L$4,IF(AND($C7=$D7,AF7=AG7),'Tabla general'!$L$4,0))) + IF(AND($C7=AF7,$D7=AG7),'Tabla general'!$L$5,0))</f>
        <v>0</v>
      </c>
      <c r="AI7" s="38"/>
      <c r="AJ7" s="38"/>
      <c r="AK7" s="35">
        <f>IF(AND($C7="",$D7=""),0,IF(AND($C7&gt;$D7,AI7&gt;AJ7),'Tabla general'!$L$4,IF(AND($D7&gt;$C7,AJ7&gt;AI7),'Tabla general'!$L$4,IF(AND($C7=$D7,AI7=AJ7),'Tabla general'!$L$4,0))) + IF(AND($C7=AI7,$D7=AJ7),'Tabla general'!$L$5,0))</f>
        <v>0</v>
      </c>
      <c r="AL7" s="38"/>
      <c r="AM7" s="38"/>
      <c r="AN7" s="36">
        <f>IF(AND($C7="",$D7=""),0,IF(AND($C7&gt;$D7,AL7&gt;AM7),'Tabla general'!$L$4,IF(AND($D7&gt;$C7,AM7&gt;AL7),'Tabla general'!$L$4,IF(AND($C7=$D7,AL7=AM7),'Tabla general'!$L$4,0))) + IF(AND($C7=AL7,$D7=AM7),'Tabla general'!$L$5,0))</f>
        <v>0</v>
      </c>
      <c r="AO7" s="38"/>
      <c r="AP7" s="38"/>
      <c r="AQ7" s="37">
        <f>IF(AND($C7="",$D7=""),0,IF(AND($C7&gt;$D7,AO7&gt;AP7),'Tabla general'!$L$4,IF(AND($D7&gt;$C7,AP7&gt;AO7),'Tabla general'!$L$4,IF(AND($C7=$D7,AO7=AP7),'Tabla general'!$L$4,0))) + IF(AND($C7=AO7,$D7=AP7),'Tabla general'!$L$5,0))</f>
        <v>0</v>
      </c>
      <c r="AR7" s="38"/>
      <c r="AS7" s="38"/>
      <c r="AT7" s="34">
        <f>IF(AND($C7="",$D7=""),0,IF(AND($C7&gt;$D7,AR7&gt;AS7),'Tabla general'!$L$4,IF(AND($D7&gt;$C7,AS7&gt;AR7),'Tabla general'!$L$4,IF(AND($C7=$D7,AR7=AS7),'Tabla general'!$L$4,0))) + IF(AND($C7=AR7,$D7=AS7),'Tabla general'!$L$5,0))</f>
        <v>0</v>
      </c>
      <c r="AU7" s="38"/>
      <c r="AV7" s="38"/>
      <c r="AW7" s="35">
        <f>IF(AND($C7="",$D7=""),0,IF(AND($C7&gt;$D7,AU7&gt;AV7),'Tabla general'!$L$4,IF(AND($D7&gt;$C7,AV7&gt;AU7),'Tabla general'!$L$4,IF(AND($C7=$D7,AU7=AV7),'Tabla general'!$L$4,0))) + IF(AND($C7=AU7,$D7=AV7),'Tabla general'!$L$5,0))</f>
        <v>0</v>
      </c>
      <c r="AX7" s="48"/>
      <c r="AY7" s="46"/>
      <c r="AZ7" s="35">
        <f>IF(AND($C7="",$D7=""),0,IF(AND($C7&gt;$D7,AX7&gt;AY7),'Tabla general'!$L$4,IF(AND($D7&gt;$C7,AY7&gt;AX7),'Tabla general'!$L$4,IF(AND($C7=$D7,AX7=AY7),'Tabla general'!$L$4,0))) + IF(AND($C7=AX7,$D7=AY7),'Tabla general'!$L$5,0))</f>
        <v>0</v>
      </c>
    </row>
    <row r="8" spans="1:52">
      <c r="A8" s="2"/>
      <c r="B8" s="2"/>
      <c r="C8" s="49"/>
      <c r="D8" s="50"/>
      <c r="E8" s="38"/>
      <c r="F8" s="38"/>
      <c r="G8" s="39">
        <f>IF(AND($C8="",$D8=""),0,IF(AND($C8&gt;$D8,E8&gt;F8),'Tabla general'!$L$4,IF(AND($D8&gt;$C8,F8&gt;E8),'Tabla general'!$L$4,IF(AND($C8=$D8,E8=F8),'Tabla general'!$L$4,0))) + IF(AND($C8=E8,$D8=F8),'Tabla general'!$L$5,0))</f>
        <v>0</v>
      </c>
      <c r="H8" s="38"/>
      <c r="I8" s="38"/>
      <c r="J8" s="26">
        <f>IF(AND($C8="",$D8=""),0,IF(AND($C8&gt;$D8,H8&gt;I8),'Tabla general'!$L$4,IF(AND($D8&gt;$C8,I8&gt;H8),'Tabla general'!$L$4,IF(AND($C8=$D8,H8=I8),'Tabla general'!$L$4,0))) + IF(AND($C8=H8,$D8=I8),'Tabla general'!$L$5,0))</f>
        <v>0</v>
      </c>
      <c r="K8" s="38"/>
      <c r="L8" s="38"/>
      <c r="M8" s="27">
        <f>IF(AND($C8="",$D8=""),0,IF(AND($C8&gt;$D8,K8&gt;L8),'Tabla general'!$L$4,IF(AND($D8&gt;$C8,L8&gt;K8),'Tabla general'!$L$4,IF(AND($C8=$D8,K8=L8),'Tabla general'!$L$4,0))) + IF(AND($C8=K8,$D8=L8),'Tabla general'!$L$5,0))</f>
        <v>0</v>
      </c>
      <c r="N8" s="38"/>
      <c r="O8" s="38"/>
      <c r="P8" s="28">
        <f>IF(AND($C8="",$D8=""),0,IF(AND($C8&gt;$D8,N8&gt;O8),'Tabla general'!$L$4,IF(AND($D8&gt;$C8,O8&gt;N8),'Tabla general'!$L$4,IF(AND($C8=$D8,N8=O8),'Tabla general'!$L$4,0))) + IF(AND($C8=N8,$D8=O8),'Tabla general'!$L$5,0))</f>
        <v>0</v>
      </c>
      <c r="Q8" s="38"/>
      <c r="R8" s="38"/>
      <c r="S8" s="29">
        <f>IF(AND($C8="",$D8=""),0,IF(AND($C8&gt;$D8,Q8&gt;R8),'Tabla general'!$L$4,IF(AND($D8&gt;$C8,R8&gt;Q8),'Tabla general'!$L$4,IF(AND($C8=$D8,Q8=R8),'Tabla general'!$L$4,0))) + IF(AND($C8=Q8,$D8=R8),'Tabla general'!$L$5,0))</f>
        <v>0</v>
      </c>
      <c r="T8" s="38"/>
      <c r="U8" s="38"/>
      <c r="V8" s="30">
        <f>IF(AND($C8="",$D8=""),0,IF(AND($C8&gt;$D8,T8&gt;U8),'Tabla general'!$L$4,IF(AND($D8&gt;$C8,U8&gt;T8),'Tabla general'!$L$4,IF(AND($C8=$D8,T8=U8),'Tabla general'!$L$4,0))) + IF(AND($C8=T8,$D8=U8),'Tabla general'!$L$5,0))</f>
        <v>0</v>
      </c>
      <c r="W8" s="38"/>
      <c r="X8" s="38"/>
      <c r="Y8" s="31">
        <f>IF(AND($C8="",$D8=""),0,IF(AND($C8&gt;$D8,W8&gt;X8),'Tabla general'!$L$4,IF(AND($D8&gt;$C8,X8&gt;W8),'Tabla general'!$L$4,IF(AND($C8=$D8,W8=X8),'Tabla general'!$L$4,0))) + IF(AND($C8=W8,$D8=X8),'Tabla general'!$L$5,0))</f>
        <v>0</v>
      </c>
      <c r="Z8" s="38"/>
      <c r="AA8" s="38"/>
      <c r="AB8" s="32">
        <f>IF(AND($C8="",$D8=""),0,IF(AND($C8&gt;$D8,Z8&gt;AA8),'Tabla general'!$L$4,IF(AND($D8&gt;$C8,AA8&gt;Z8),'Tabla general'!$L$4,IF(AND($C8=$D8,Z8=AA8),'Tabla general'!$L$4,0))) + IF(AND($C8=Z8,$D8=AA8),'Tabla general'!$L$5,0))</f>
        <v>0</v>
      </c>
      <c r="AC8" s="38"/>
      <c r="AD8" s="38"/>
      <c r="AE8" s="33">
        <f>IF(AND($C8="",$D8=""),0,IF(AND($C8&gt;$D8,AC8&gt;AD8),'Tabla general'!$L$4,IF(AND($D8&gt;$C8,AD8&gt;AC8),'Tabla general'!$L$4,IF(AND($C8=$D8,AC8=AD8),'Tabla general'!$L$4,0))) + IF(AND($C8=AC8,$D8=AD8),'Tabla general'!$L$5,0))</f>
        <v>0</v>
      </c>
      <c r="AF8" s="38"/>
      <c r="AG8" s="38"/>
      <c r="AH8" s="34">
        <f>IF(AND($C8="",$D8=""),0,IF(AND($C8&gt;$D8,AF8&gt;AG8),'Tabla general'!$L$4,IF(AND($D8&gt;$C8,AG8&gt;AF8),'Tabla general'!$L$4,IF(AND($C8=$D8,AF8=AG8),'Tabla general'!$L$4,0))) + IF(AND($C8=AF8,$D8=AG8),'Tabla general'!$L$5,0))</f>
        <v>0</v>
      </c>
      <c r="AI8" s="38"/>
      <c r="AJ8" s="38"/>
      <c r="AK8" s="35">
        <f>IF(AND($C8="",$D8=""),0,IF(AND($C8&gt;$D8,AI8&gt;AJ8),'Tabla general'!$L$4,IF(AND($D8&gt;$C8,AJ8&gt;AI8),'Tabla general'!$L$4,IF(AND($C8=$D8,AI8=AJ8),'Tabla general'!$L$4,0))) + IF(AND($C8=AI8,$D8=AJ8),'Tabla general'!$L$5,0))</f>
        <v>0</v>
      </c>
      <c r="AL8" s="38"/>
      <c r="AM8" s="38"/>
      <c r="AN8" s="36">
        <f>IF(AND($C8="",$D8=""),0,IF(AND($C8&gt;$D8,AL8&gt;AM8),'Tabla general'!$L$4,IF(AND($D8&gt;$C8,AM8&gt;AL8),'Tabla general'!$L$4,IF(AND($C8=$D8,AL8=AM8),'Tabla general'!$L$4,0))) + IF(AND($C8=AL8,$D8=AM8),'Tabla general'!$L$5,0))</f>
        <v>0</v>
      </c>
      <c r="AO8" s="38"/>
      <c r="AP8" s="38"/>
      <c r="AQ8" s="37">
        <f>IF(AND($C8="",$D8=""),0,IF(AND($C8&gt;$D8,AO8&gt;AP8),'Tabla general'!$L$4,IF(AND($D8&gt;$C8,AP8&gt;AO8),'Tabla general'!$L$4,IF(AND($C8=$D8,AO8=AP8),'Tabla general'!$L$4,0))) + IF(AND($C8=AO8,$D8=AP8),'Tabla general'!$L$5,0))</f>
        <v>0</v>
      </c>
      <c r="AR8" s="38"/>
      <c r="AS8" s="38"/>
      <c r="AT8" s="34">
        <f>IF(AND($C8="",$D8=""),0,IF(AND($C8&gt;$D8,AR8&gt;AS8),'Tabla general'!$L$4,IF(AND($D8&gt;$C8,AS8&gt;AR8),'Tabla general'!$L$4,IF(AND($C8=$D8,AR8=AS8),'Tabla general'!$L$4,0))) + IF(AND($C8=AR8,$D8=AS8),'Tabla general'!$L$5,0))</f>
        <v>0</v>
      </c>
      <c r="AU8" s="38"/>
      <c r="AV8" s="38"/>
      <c r="AW8" s="35">
        <f>IF(AND($C8="",$D8=""),0,IF(AND($C8&gt;$D8,AU8&gt;AV8),'Tabla general'!$L$4,IF(AND($D8&gt;$C8,AV8&gt;AU8),'Tabla general'!$L$4,IF(AND($C8=$D8,AU8=AV8),'Tabla general'!$L$4,0))) + IF(AND($C8=AU8,$D8=AV8),'Tabla general'!$L$5,0))</f>
        <v>0</v>
      </c>
      <c r="AX8" s="48"/>
      <c r="AY8" s="46"/>
      <c r="AZ8" s="35">
        <f>IF(AND($C8="",$D8=""),0,IF(AND($C8&gt;$D8,AX8&gt;AY8),'Tabla general'!$L$4,IF(AND($D8&gt;$C8,AY8&gt;AX8),'Tabla general'!$L$4,IF(AND($C8=$D8,AX8=AY8),'Tabla general'!$L$4,0))) + IF(AND($C8=AX8,$D8=AY8),'Tabla general'!$L$5,0))</f>
        <v>0</v>
      </c>
    </row>
    <row r="9" spans="1:52">
      <c r="A9" s="5"/>
      <c r="B9" s="5"/>
      <c r="C9" s="49"/>
      <c r="D9" s="50"/>
      <c r="E9" s="38"/>
      <c r="F9" s="38"/>
      <c r="G9" s="39">
        <f>IF(AND($C9="",$D9=""),0,IF(AND($C9&gt;$D9,E9&gt;F9),'Tabla general'!$L$4,IF(AND($D9&gt;$C9,F9&gt;E9),'Tabla general'!$L$4,IF(AND($C9=$D9,E9=F9),'Tabla general'!$L$4,0))) + IF(AND($C9=E9,$D9=F9),'Tabla general'!$L$5,0))</f>
        <v>0</v>
      </c>
      <c r="H9" s="38"/>
      <c r="I9" s="38"/>
      <c r="J9" s="26">
        <f>IF(AND($C9="",$D9=""),0,IF(AND($C9&gt;$D9,H9&gt;I9),'Tabla general'!$L$4,IF(AND($D9&gt;$C9,I9&gt;H9),'Tabla general'!$L$4,IF(AND($C9=$D9,H9=I9),'Tabla general'!$L$4,0))) + IF(AND($C9=H9,$D9=I9),'Tabla general'!$L$5,0))</f>
        <v>0</v>
      </c>
      <c r="K9" s="38"/>
      <c r="L9" s="38"/>
      <c r="M9" s="27">
        <f>IF(AND($C9="",$D9=""),0,IF(AND($C9&gt;$D9,K9&gt;L9),'Tabla general'!$L$4,IF(AND($D9&gt;$C9,L9&gt;K9),'Tabla general'!$L$4,IF(AND($C9=$D9,K9=L9),'Tabla general'!$L$4,0))) + IF(AND($C9=K9,$D9=L9),'Tabla general'!$L$5,0))</f>
        <v>0</v>
      </c>
      <c r="N9" s="38"/>
      <c r="O9" s="38"/>
      <c r="P9" s="28">
        <f>IF(AND($C9="",$D9=""),0,IF(AND($C9&gt;$D9,N9&gt;O9),'Tabla general'!$L$4,IF(AND($D9&gt;$C9,O9&gt;N9),'Tabla general'!$L$4,IF(AND($C9=$D9,N9=O9),'Tabla general'!$L$4,0))) + IF(AND($C9=N9,$D9=O9),'Tabla general'!$L$5,0))</f>
        <v>0</v>
      </c>
      <c r="Q9" s="38"/>
      <c r="R9" s="38"/>
      <c r="S9" s="29">
        <f>IF(AND($C9="",$D9=""),0,IF(AND($C9&gt;$D9,Q9&gt;R9),'Tabla general'!$L$4,IF(AND($D9&gt;$C9,R9&gt;Q9),'Tabla general'!$L$4,IF(AND($C9=$D9,Q9=R9),'Tabla general'!$L$4,0))) + IF(AND($C9=Q9,$D9=R9),'Tabla general'!$L$5,0))</f>
        <v>0</v>
      </c>
      <c r="T9" s="38"/>
      <c r="U9" s="38"/>
      <c r="V9" s="30">
        <f>IF(AND($C9="",$D9=""),0,IF(AND($C9&gt;$D9,T9&gt;U9),'Tabla general'!$L$4,IF(AND($D9&gt;$C9,U9&gt;T9),'Tabla general'!$L$4,IF(AND($C9=$D9,T9=U9),'Tabla general'!$L$4,0))) + IF(AND($C9=T9,$D9=U9),'Tabla general'!$L$5,0))</f>
        <v>0</v>
      </c>
      <c r="W9" s="38"/>
      <c r="X9" s="38"/>
      <c r="Y9" s="31">
        <f>IF(AND($C9="",$D9=""),0,IF(AND($C9&gt;$D9,W9&gt;X9),'Tabla general'!$L$4,IF(AND($D9&gt;$C9,X9&gt;W9),'Tabla general'!$L$4,IF(AND($C9=$D9,W9=X9),'Tabla general'!$L$4,0))) + IF(AND($C9=W9,$D9=X9),'Tabla general'!$L$5,0))</f>
        <v>0</v>
      </c>
      <c r="Z9" s="38"/>
      <c r="AA9" s="38"/>
      <c r="AB9" s="32">
        <f>IF(AND($C9="",$D9=""),0,IF(AND($C9&gt;$D9,Z9&gt;AA9),'Tabla general'!$L$4,IF(AND($D9&gt;$C9,AA9&gt;Z9),'Tabla general'!$L$4,IF(AND($C9=$D9,Z9=AA9),'Tabla general'!$L$4,0))) + IF(AND($C9=Z9,$D9=AA9),'Tabla general'!$L$5,0))</f>
        <v>0</v>
      </c>
      <c r="AC9" s="38"/>
      <c r="AD9" s="38"/>
      <c r="AE9" s="33">
        <f>IF(AND($C9="",$D9=""),0,IF(AND($C9&gt;$D9,AC9&gt;AD9),'Tabla general'!$L$4,IF(AND($D9&gt;$C9,AD9&gt;AC9),'Tabla general'!$L$4,IF(AND($C9=$D9,AC9=AD9),'Tabla general'!$L$4,0))) + IF(AND($C9=AC9,$D9=AD9),'Tabla general'!$L$5,0))</f>
        <v>0</v>
      </c>
      <c r="AF9" s="38"/>
      <c r="AG9" s="38"/>
      <c r="AH9" s="34">
        <f>IF(AND($C9="",$D9=""),0,IF(AND($C9&gt;$D9,AF9&gt;AG9),'Tabla general'!$L$4,IF(AND($D9&gt;$C9,AG9&gt;AF9),'Tabla general'!$L$4,IF(AND($C9=$D9,AF9=AG9),'Tabla general'!$L$4,0))) + IF(AND($C9=AF9,$D9=AG9),'Tabla general'!$L$5,0))</f>
        <v>0</v>
      </c>
      <c r="AI9" s="38"/>
      <c r="AJ9" s="38"/>
      <c r="AK9" s="35">
        <f>IF(AND($C9="",$D9=""),0,IF(AND($C9&gt;$D9,AI9&gt;AJ9),'Tabla general'!$L$4,IF(AND($D9&gt;$C9,AJ9&gt;AI9),'Tabla general'!$L$4,IF(AND($C9=$D9,AI9=AJ9),'Tabla general'!$L$4,0))) + IF(AND($C9=AI9,$D9=AJ9),'Tabla general'!$L$5,0))</f>
        <v>0</v>
      </c>
      <c r="AL9" s="38"/>
      <c r="AM9" s="38"/>
      <c r="AN9" s="36">
        <f>IF(AND($C9="",$D9=""),0,IF(AND($C9&gt;$D9,AL9&gt;AM9),'Tabla general'!$L$4,IF(AND($D9&gt;$C9,AM9&gt;AL9),'Tabla general'!$L$4,IF(AND($C9=$D9,AL9=AM9),'Tabla general'!$L$4,0))) + IF(AND($C9=AL9,$D9=AM9),'Tabla general'!$L$5,0))</f>
        <v>0</v>
      </c>
      <c r="AO9" s="38"/>
      <c r="AP9" s="38"/>
      <c r="AQ9" s="37">
        <f>IF(AND($C9="",$D9=""),0,IF(AND($C9&gt;$D9,AO9&gt;AP9),'Tabla general'!$L$4,IF(AND($D9&gt;$C9,AP9&gt;AO9),'Tabla general'!$L$4,IF(AND($C9=$D9,AO9=AP9),'Tabla general'!$L$4,0))) + IF(AND($C9=AO9,$D9=AP9),'Tabla general'!$L$5,0))</f>
        <v>0</v>
      </c>
      <c r="AR9" s="38"/>
      <c r="AS9" s="38"/>
      <c r="AT9" s="34">
        <f>IF(AND($C9="",$D9=""),0,IF(AND($C9&gt;$D9,AR9&gt;AS9),'Tabla general'!$L$4,IF(AND($D9&gt;$C9,AS9&gt;AR9),'Tabla general'!$L$4,IF(AND($C9=$D9,AR9=AS9),'Tabla general'!$L$4,0))) + IF(AND($C9=AR9,$D9=AS9),'Tabla general'!$L$5,0))</f>
        <v>0</v>
      </c>
      <c r="AU9" s="38"/>
      <c r="AV9" s="38"/>
      <c r="AW9" s="35">
        <f>IF(AND($C9="",$D9=""),0,IF(AND($C9&gt;$D9,AU9&gt;AV9),'Tabla general'!$L$4,IF(AND($D9&gt;$C9,AV9&gt;AU9),'Tabla general'!$L$4,IF(AND($C9=$D9,AU9=AV9),'Tabla general'!$L$4,0))) + IF(AND($C9=AU9,$D9=AV9),'Tabla general'!$L$5,0))</f>
        <v>0</v>
      </c>
      <c r="AX9" s="48"/>
      <c r="AY9" s="46"/>
      <c r="AZ9" s="35">
        <f>IF(AND($C9="",$D9=""),0,IF(AND($C9&gt;$D9,AX9&gt;AY9),'Tabla general'!$L$4,IF(AND($D9&gt;$C9,AY9&gt;AX9),'Tabla general'!$L$4,IF(AND($C9=$D9,AX9=AY9),'Tabla general'!$L$4,0))) + IF(AND($C9=AX9,$D9=AY9),'Tabla general'!$L$5,0))</f>
        <v>0</v>
      </c>
    </row>
    <row r="10" spans="1:52">
      <c r="A10" s="2"/>
      <c r="B10" s="2"/>
      <c r="C10" s="49"/>
      <c r="D10" s="50"/>
      <c r="E10" s="38"/>
      <c r="F10" s="38"/>
      <c r="G10" s="39">
        <f>IF(AND($C10="",$D10=""),0,IF(AND($C10&gt;$D10,E10&gt;F10),'Tabla general'!$L$4,IF(AND($D10&gt;$C10,F10&gt;E10),'Tabla general'!$L$4,IF(AND($C10=$D10,E10=F10),'Tabla general'!$L$4,0))) + IF(AND($C10=E10,$D10=F10),'Tabla general'!$L$5,0))</f>
        <v>0</v>
      </c>
      <c r="H10" s="38"/>
      <c r="I10" s="38"/>
      <c r="J10" s="26">
        <f>IF(AND($C10="",$D10=""),0,IF(AND($C10&gt;$D10,H10&gt;I10),'Tabla general'!$L$4,IF(AND($D10&gt;$C10,I10&gt;H10),'Tabla general'!$L$4,IF(AND($C10=$D10,H10=I10),'Tabla general'!$L$4,0))) + IF(AND($C10=H10,$D10=I10),'Tabla general'!$L$5,0))</f>
        <v>0</v>
      </c>
      <c r="K10" s="38"/>
      <c r="L10" s="38"/>
      <c r="M10" s="27">
        <f>IF(AND($C10="",$D10=""),0,IF(AND($C10&gt;$D10,K10&gt;L10),'Tabla general'!$L$4,IF(AND($D10&gt;$C10,L10&gt;K10),'Tabla general'!$L$4,IF(AND($C10=$D10,K10=L10),'Tabla general'!$L$4,0))) + IF(AND($C10=K10,$D10=L10),'Tabla general'!$L$5,0))</f>
        <v>0</v>
      </c>
      <c r="N10" s="38"/>
      <c r="O10" s="38"/>
      <c r="P10" s="28">
        <f>IF(AND($C10="",$D10=""),0,IF(AND($C10&gt;$D10,N10&gt;O10),'Tabla general'!$L$4,IF(AND($D10&gt;$C10,O10&gt;N10),'Tabla general'!$L$4,IF(AND($C10=$D10,N10=O10),'Tabla general'!$L$4,0))) + IF(AND($C10=N10,$D10=O10),'Tabla general'!$L$5,0))</f>
        <v>0</v>
      </c>
      <c r="Q10" s="38"/>
      <c r="R10" s="38"/>
      <c r="S10" s="29">
        <f>IF(AND($C10="",$D10=""),0,IF(AND($C10&gt;$D10,Q10&gt;R10),'Tabla general'!$L$4,IF(AND($D10&gt;$C10,R10&gt;Q10),'Tabla general'!$L$4,IF(AND($C10=$D10,Q10=R10),'Tabla general'!$L$4,0))) + IF(AND($C10=Q10,$D10=R10),'Tabla general'!$L$5,0))</f>
        <v>0</v>
      </c>
      <c r="T10" s="38"/>
      <c r="U10" s="38"/>
      <c r="V10" s="30">
        <f>IF(AND($C10="",$D10=""),0,IF(AND($C10&gt;$D10,T10&gt;U10),'Tabla general'!$L$4,IF(AND($D10&gt;$C10,U10&gt;T10),'Tabla general'!$L$4,IF(AND($C10=$D10,T10=U10),'Tabla general'!$L$4,0))) + IF(AND($C10=T10,$D10=U10),'Tabla general'!$L$5,0))</f>
        <v>0</v>
      </c>
      <c r="W10" s="38"/>
      <c r="X10" s="38"/>
      <c r="Y10" s="31">
        <f>IF(AND($C10="",$D10=""),0,IF(AND($C10&gt;$D10,W10&gt;X10),'Tabla general'!$L$4,IF(AND($D10&gt;$C10,X10&gt;W10),'Tabla general'!$L$4,IF(AND($C10=$D10,W10=X10),'Tabla general'!$L$4,0))) + IF(AND($C10=W10,$D10=X10),'Tabla general'!$L$5,0))</f>
        <v>0</v>
      </c>
      <c r="Z10" s="38"/>
      <c r="AA10" s="38"/>
      <c r="AB10" s="32">
        <f>IF(AND($C10="",$D10=""),0,IF(AND($C10&gt;$D10,Z10&gt;AA10),'Tabla general'!$L$4,IF(AND($D10&gt;$C10,AA10&gt;Z10),'Tabla general'!$L$4,IF(AND($C10=$D10,Z10=AA10),'Tabla general'!$L$4,0))) + IF(AND($C10=Z10,$D10=AA10),'Tabla general'!$L$5,0))</f>
        <v>0</v>
      </c>
      <c r="AC10" s="38"/>
      <c r="AD10" s="38"/>
      <c r="AE10" s="33">
        <f>IF(AND($C10="",$D10=""),0,IF(AND($C10&gt;$D10,AC10&gt;AD10),'Tabla general'!$L$4,IF(AND($D10&gt;$C10,AD10&gt;AC10),'Tabla general'!$L$4,IF(AND($C10=$D10,AC10=AD10),'Tabla general'!$L$4,0))) + IF(AND($C10=AC10,$D10=AD10),'Tabla general'!$L$5,0))</f>
        <v>0</v>
      </c>
      <c r="AF10" s="38"/>
      <c r="AG10" s="38"/>
      <c r="AH10" s="34">
        <f>IF(AND($C10="",$D10=""),0,IF(AND($C10&gt;$D10,AF10&gt;AG10),'Tabla general'!$L$4,IF(AND($D10&gt;$C10,AG10&gt;AF10),'Tabla general'!$L$4,IF(AND($C10=$D10,AF10=AG10),'Tabla general'!$L$4,0))) + IF(AND($C10=AF10,$D10=AG10),'Tabla general'!$L$5,0))</f>
        <v>0</v>
      </c>
      <c r="AI10" s="38"/>
      <c r="AJ10" s="38"/>
      <c r="AK10" s="35">
        <f>IF(AND($C10="",$D10=""),0,IF(AND($C10&gt;$D10,AI10&gt;AJ10),'Tabla general'!$L$4,IF(AND($D10&gt;$C10,AJ10&gt;AI10),'Tabla general'!$L$4,IF(AND($C10=$D10,AI10=AJ10),'Tabla general'!$L$4,0))) + IF(AND($C10=AI10,$D10=AJ10),'Tabla general'!$L$5,0))</f>
        <v>0</v>
      </c>
      <c r="AL10" s="38"/>
      <c r="AM10" s="38"/>
      <c r="AN10" s="36">
        <f>IF(AND($C10="",$D10=""),0,IF(AND($C10&gt;$D10,AL10&gt;AM10),'Tabla general'!$L$4,IF(AND($D10&gt;$C10,AM10&gt;AL10),'Tabla general'!$L$4,IF(AND($C10=$D10,AL10=AM10),'Tabla general'!$L$4,0))) + IF(AND($C10=AL10,$D10=AM10),'Tabla general'!$L$5,0))</f>
        <v>0</v>
      </c>
      <c r="AO10" s="38"/>
      <c r="AP10" s="38"/>
      <c r="AQ10" s="37">
        <f>IF(AND($C10="",$D10=""),0,IF(AND($C10&gt;$D10,AO10&gt;AP10),'Tabla general'!$L$4,IF(AND($D10&gt;$C10,AP10&gt;AO10),'Tabla general'!$L$4,IF(AND($C10=$D10,AO10=AP10),'Tabla general'!$L$4,0))) + IF(AND($C10=AO10,$D10=AP10),'Tabla general'!$L$5,0))</f>
        <v>0</v>
      </c>
      <c r="AR10" s="38"/>
      <c r="AS10" s="38"/>
      <c r="AT10" s="34">
        <f>IF(AND($C10="",$D10=""),0,IF(AND($C10&gt;$D10,AR10&gt;AS10),'Tabla general'!$L$4,IF(AND($D10&gt;$C10,AS10&gt;AR10),'Tabla general'!$L$4,IF(AND($C10=$D10,AR10=AS10),'Tabla general'!$L$4,0))) + IF(AND($C10=AR10,$D10=AS10),'Tabla general'!$L$5,0))</f>
        <v>0</v>
      </c>
      <c r="AU10" s="38"/>
      <c r="AV10" s="38"/>
      <c r="AW10" s="35">
        <f>IF(AND($C10="",$D10=""),0,IF(AND($C10&gt;$D10,AU10&gt;AV10),'Tabla general'!$L$4,IF(AND($D10&gt;$C10,AV10&gt;AU10),'Tabla general'!$L$4,IF(AND($C10=$D10,AU10=AV10),'Tabla general'!$L$4,0))) + IF(AND($C10=AU10,$D10=AV10),'Tabla general'!$L$5,0))</f>
        <v>0</v>
      </c>
      <c r="AX10" s="48"/>
      <c r="AY10" s="46"/>
      <c r="AZ10" s="35">
        <f>IF(AND($C10="",$D10=""),0,IF(AND($C10&gt;$D10,AX10&gt;AY10),'Tabla general'!$L$4,IF(AND($D10&gt;$C10,AY10&gt;AX10),'Tabla general'!$L$4,IF(AND($C10=$D10,AX10=AY10),'Tabla general'!$L$4,0))) + IF(AND($C10=AX10,$D10=AY10),'Tabla general'!$L$5,0))</f>
        <v>0</v>
      </c>
    </row>
    <row r="11" spans="1:52">
      <c r="A11" s="2"/>
      <c r="B11" s="2"/>
      <c r="C11" s="49"/>
      <c r="D11" s="50"/>
      <c r="E11" s="38"/>
      <c r="F11" s="38"/>
      <c r="G11" s="39">
        <f>IF(AND($C11="",$D11=""),0,IF(AND($C11&gt;$D11,E11&gt;F11),'Tabla general'!$L$4,IF(AND($D11&gt;$C11,F11&gt;E11),'Tabla general'!$L$4,IF(AND($C11=$D11,E11=F11),'Tabla general'!$L$4,0))) + IF(AND($C11=E11,$D11=F11),'Tabla general'!$L$5,0))</f>
        <v>0</v>
      </c>
      <c r="H11" s="38"/>
      <c r="I11" s="38"/>
      <c r="J11" s="26">
        <f>IF(AND($C11="",$D11=""),0,IF(AND($C11&gt;$D11,H11&gt;I11),'Tabla general'!$L$4,IF(AND($D11&gt;$C11,I11&gt;H11),'Tabla general'!$L$4,IF(AND($C11=$D11,H11=I11),'Tabla general'!$L$4,0))) + IF(AND($C11=H11,$D11=I11),'Tabla general'!$L$5,0))</f>
        <v>0</v>
      </c>
      <c r="K11" s="38"/>
      <c r="L11" s="38"/>
      <c r="M11" s="27">
        <f>IF(AND($C11="",$D11=""),0,IF(AND($C11&gt;$D11,K11&gt;L11),'Tabla general'!$L$4,IF(AND($D11&gt;$C11,L11&gt;K11),'Tabla general'!$L$4,IF(AND($C11=$D11,K11=L11),'Tabla general'!$L$4,0))) + IF(AND($C11=K11,$D11=L11),'Tabla general'!$L$5,0))</f>
        <v>0</v>
      </c>
      <c r="N11" s="38"/>
      <c r="O11" s="38"/>
      <c r="P11" s="28">
        <f>IF(AND($C11="",$D11=""),0,IF(AND($C11&gt;$D11,N11&gt;O11),'Tabla general'!$L$4,IF(AND($D11&gt;$C11,O11&gt;N11),'Tabla general'!$L$4,IF(AND($C11=$D11,N11=O11),'Tabla general'!$L$4,0))) + IF(AND($C11=N11,$D11=O11),'Tabla general'!$L$5,0))</f>
        <v>0</v>
      </c>
      <c r="Q11" s="38"/>
      <c r="R11" s="38"/>
      <c r="S11" s="29">
        <f>IF(AND($C11="",$D11=""),0,IF(AND($C11&gt;$D11,Q11&gt;R11),'Tabla general'!$L$4,IF(AND($D11&gt;$C11,R11&gt;Q11),'Tabla general'!$L$4,IF(AND($C11=$D11,Q11=R11),'Tabla general'!$L$4,0))) + IF(AND($C11=Q11,$D11=R11),'Tabla general'!$L$5,0))</f>
        <v>0</v>
      </c>
      <c r="T11" s="38"/>
      <c r="U11" s="38"/>
      <c r="V11" s="30">
        <f>IF(AND($C11="",$D11=""),0,IF(AND($C11&gt;$D11,T11&gt;U11),'Tabla general'!$L$4,IF(AND($D11&gt;$C11,U11&gt;T11),'Tabla general'!$L$4,IF(AND($C11=$D11,T11=U11),'Tabla general'!$L$4,0))) + IF(AND($C11=T11,$D11=U11),'Tabla general'!$L$5,0))</f>
        <v>0</v>
      </c>
      <c r="W11" s="38"/>
      <c r="X11" s="38"/>
      <c r="Y11" s="31">
        <f>IF(AND($C11="",$D11=""),0,IF(AND($C11&gt;$D11,W11&gt;X11),'Tabla general'!$L$4,IF(AND($D11&gt;$C11,X11&gt;W11),'Tabla general'!$L$4,IF(AND($C11=$D11,W11=X11),'Tabla general'!$L$4,0))) + IF(AND($C11=W11,$D11=X11),'Tabla general'!$L$5,0))</f>
        <v>0</v>
      </c>
      <c r="Z11" s="38"/>
      <c r="AA11" s="38"/>
      <c r="AB11" s="32">
        <f>IF(AND($C11="",$D11=""),0,IF(AND($C11&gt;$D11,Z11&gt;AA11),'Tabla general'!$L$4,IF(AND($D11&gt;$C11,AA11&gt;Z11),'Tabla general'!$L$4,IF(AND($C11=$D11,Z11=AA11),'Tabla general'!$L$4,0))) + IF(AND($C11=Z11,$D11=AA11),'Tabla general'!$L$5,0))</f>
        <v>0</v>
      </c>
      <c r="AC11" s="38"/>
      <c r="AD11" s="38"/>
      <c r="AE11" s="33">
        <f>IF(AND($C11="",$D11=""),0,IF(AND($C11&gt;$D11,AC11&gt;AD11),'Tabla general'!$L$4,IF(AND($D11&gt;$C11,AD11&gt;AC11),'Tabla general'!$L$4,IF(AND($C11=$D11,AC11=AD11),'Tabla general'!$L$4,0))) + IF(AND($C11=AC11,$D11=AD11),'Tabla general'!$L$5,0))</f>
        <v>0</v>
      </c>
      <c r="AF11" s="38"/>
      <c r="AG11" s="38"/>
      <c r="AH11" s="34">
        <f>IF(AND($C11="",$D11=""),0,IF(AND($C11&gt;$D11,AF11&gt;AG11),'Tabla general'!$L$4,IF(AND($D11&gt;$C11,AG11&gt;AF11),'Tabla general'!$L$4,IF(AND($C11=$D11,AF11=AG11),'Tabla general'!$L$4,0))) + IF(AND($C11=AF11,$D11=AG11),'Tabla general'!$L$5,0))</f>
        <v>0</v>
      </c>
      <c r="AI11" s="38"/>
      <c r="AJ11" s="38"/>
      <c r="AK11" s="35">
        <f>IF(AND($C11="",$D11=""),0,IF(AND($C11&gt;$D11,AI11&gt;AJ11),'Tabla general'!$L$4,IF(AND($D11&gt;$C11,AJ11&gt;AI11),'Tabla general'!$L$4,IF(AND($C11=$D11,AI11=AJ11),'Tabla general'!$L$4,0))) + IF(AND($C11=AI11,$D11=AJ11),'Tabla general'!$L$5,0))</f>
        <v>0</v>
      </c>
      <c r="AL11" s="38"/>
      <c r="AM11" s="38"/>
      <c r="AN11" s="36">
        <f>IF(AND($C11="",$D11=""),0,IF(AND($C11&gt;$D11,AL11&gt;AM11),'Tabla general'!$L$4,IF(AND($D11&gt;$C11,AM11&gt;AL11),'Tabla general'!$L$4,IF(AND($C11=$D11,AL11=AM11),'Tabla general'!$L$4,0))) + IF(AND($C11=AL11,$D11=AM11),'Tabla general'!$L$5,0))</f>
        <v>0</v>
      </c>
      <c r="AO11" s="38"/>
      <c r="AP11" s="38"/>
      <c r="AQ11" s="37">
        <f>IF(AND($C11="",$D11=""),0,IF(AND($C11&gt;$D11,AO11&gt;AP11),'Tabla general'!$L$4,IF(AND($D11&gt;$C11,AP11&gt;AO11),'Tabla general'!$L$4,IF(AND($C11=$D11,AO11=AP11),'Tabla general'!$L$4,0))) + IF(AND($C11=AO11,$D11=AP11),'Tabla general'!$L$5,0))</f>
        <v>0</v>
      </c>
      <c r="AR11" s="38"/>
      <c r="AS11" s="38"/>
      <c r="AT11" s="34">
        <f>IF(AND($C11="",$D11=""),0,IF(AND($C11&gt;$D11,AR11&gt;AS11),'Tabla general'!$L$4,IF(AND($D11&gt;$C11,AS11&gt;AR11),'Tabla general'!$L$4,IF(AND($C11=$D11,AR11=AS11),'Tabla general'!$L$4,0))) + IF(AND($C11=AR11,$D11=AS11),'Tabla general'!$L$5,0))</f>
        <v>0</v>
      </c>
      <c r="AU11" s="38"/>
      <c r="AV11" s="38"/>
      <c r="AW11" s="35">
        <f>IF(AND($C11="",$D11=""),0,IF(AND($C11&gt;$D11,AU11&gt;AV11),'Tabla general'!$L$4,IF(AND($D11&gt;$C11,AV11&gt;AU11),'Tabla general'!$L$4,IF(AND($C11=$D11,AU11=AV11),'Tabla general'!$L$4,0))) + IF(AND($C11=AU11,$D11=AV11),'Tabla general'!$L$5,0))</f>
        <v>0</v>
      </c>
      <c r="AX11" s="48"/>
      <c r="AY11" s="46"/>
      <c r="AZ11" s="35">
        <f>IF(AND($C11="",$D11=""),0,IF(AND($C11&gt;$D11,AX11&gt;AY11),'Tabla general'!$L$4,IF(AND($D11&gt;$C11,AY11&gt;AX11),'Tabla general'!$L$4,IF(AND($C11=$D11,AX11=AY11),'Tabla general'!$L$4,0))) + IF(AND($C11=AX11,$D11=AY11),'Tabla general'!$L$5,0))</f>
        <v>0</v>
      </c>
    </row>
    <row r="12" spans="1:52">
      <c r="A12" s="2"/>
      <c r="B12" s="2"/>
      <c r="C12" s="49"/>
      <c r="D12" s="50"/>
      <c r="E12" s="38"/>
      <c r="F12" s="38"/>
      <c r="G12" s="39">
        <f>IF(AND($C12="",$D12=""),0,IF(AND($C12&gt;$D12,E12&gt;F12),'Tabla general'!$L$4,IF(AND($D12&gt;$C12,F12&gt;E12),'Tabla general'!$L$4,IF(AND($C12=$D12,E12=F12),'Tabla general'!$L$4,0))) + IF(AND($C12=E12,$D12=F12),'Tabla general'!$L$5,0))</f>
        <v>0</v>
      </c>
      <c r="H12" s="38"/>
      <c r="I12" s="38"/>
      <c r="J12" s="26">
        <f>IF(AND($C12="",$D12=""),0,IF(AND($C12&gt;$D12,H12&gt;I12),'Tabla general'!$L$4,IF(AND($D12&gt;$C12,I12&gt;H12),'Tabla general'!$L$4,IF(AND($C12=$D12,H12=I12),'Tabla general'!$L$4,0))) + IF(AND($C12=H12,$D12=I12),'Tabla general'!$L$5,0))</f>
        <v>0</v>
      </c>
      <c r="K12" s="38"/>
      <c r="L12" s="38"/>
      <c r="M12" s="27">
        <f>IF(AND($C12="",$D12=""),0,IF(AND($C12&gt;$D12,K12&gt;L12),'Tabla general'!$L$4,IF(AND($D12&gt;$C12,L12&gt;K12),'Tabla general'!$L$4,IF(AND($C12=$D12,K12=L12),'Tabla general'!$L$4,0))) + IF(AND($C12=K12,$D12=L12),'Tabla general'!$L$5,0))</f>
        <v>0</v>
      </c>
      <c r="N12" s="38"/>
      <c r="O12" s="38"/>
      <c r="P12" s="28">
        <f>IF(AND($C12="",$D12=""),0,IF(AND($C12&gt;$D12,N12&gt;O12),'Tabla general'!$L$4,IF(AND($D12&gt;$C12,O12&gt;N12),'Tabla general'!$L$4,IF(AND($C12=$D12,N12=O12),'Tabla general'!$L$4,0))) + IF(AND($C12=N12,$D12=O12),'Tabla general'!$L$5,0))</f>
        <v>0</v>
      </c>
      <c r="Q12" s="38"/>
      <c r="R12" s="38"/>
      <c r="S12" s="29">
        <f>IF(AND($C12="",$D12=""),0,IF(AND($C12&gt;$D12,Q12&gt;R12),'Tabla general'!$L$4,IF(AND($D12&gt;$C12,R12&gt;Q12),'Tabla general'!$L$4,IF(AND($C12=$D12,Q12=R12),'Tabla general'!$L$4,0))) + IF(AND($C12=Q12,$D12=R12),'Tabla general'!$L$5,0))</f>
        <v>0</v>
      </c>
      <c r="T12" s="38"/>
      <c r="U12" s="38"/>
      <c r="V12" s="30">
        <f>IF(AND($C12="",$D12=""),0,IF(AND($C12&gt;$D12,T12&gt;U12),'Tabla general'!$L$4,IF(AND($D12&gt;$C12,U12&gt;T12),'Tabla general'!$L$4,IF(AND($C12=$D12,T12=U12),'Tabla general'!$L$4,0))) + IF(AND($C12=T12,$D12=U12),'Tabla general'!$L$5,0))</f>
        <v>0</v>
      </c>
      <c r="W12" s="38"/>
      <c r="X12" s="38"/>
      <c r="Y12" s="31">
        <f>IF(AND($C12="",$D12=""),0,IF(AND($C12&gt;$D12,W12&gt;X12),'Tabla general'!$L$4,IF(AND($D12&gt;$C12,X12&gt;W12),'Tabla general'!$L$4,IF(AND($C12=$D12,W12=X12),'Tabla general'!$L$4,0))) + IF(AND($C12=W12,$D12=X12),'Tabla general'!$L$5,0))</f>
        <v>0</v>
      </c>
      <c r="Z12" s="38"/>
      <c r="AA12" s="38"/>
      <c r="AB12" s="32">
        <f>IF(AND($C12="",$D12=""),0,IF(AND($C12&gt;$D12,Z12&gt;AA12),'Tabla general'!$L$4,IF(AND($D12&gt;$C12,AA12&gt;Z12),'Tabla general'!$L$4,IF(AND($C12=$D12,Z12=AA12),'Tabla general'!$L$4,0))) + IF(AND($C12=Z12,$D12=AA12),'Tabla general'!$L$5,0))</f>
        <v>0</v>
      </c>
      <c r="AC12" s="38"/>
      <c r="AD12" s="38"/>
      <c r="AE12" s="33">
        <f>IF(AND($C12="",$D12=""),0,IF(AND($C12&gt;$D12,AC12&gt;AD12),'Tabla general'!$L$4,IF(AND($D12&gt;$C12,AD12&gt;AC12),'Tabla general'!$L$4,IF(AND($C12=$D12,AC12=AD12),'Tabla general'!$L$4,0))) + IF(AND($C12=AC12,$D12=AD12),'Tabla general'!$L$5,0))</f>
        <v>0</v>
      </c>
      <c r="AF12" s="38"/>
      <c r="AG12" s="38"/>
      <c r="AH12" s="34">
        <f>IF(AND($C12="",$D12=""),0,IF(AND($C12&gt;$D12,AF12&gt;AG12),'Tabla general'!$L$4,IF(AND($D12&gt;$C12,AG12&gt;AF12),'Tabla general'!$L$4,IF(AND($C12=$D12,AF12=AG12),'Tabla general'!$L$4,0))) + IF(AND($C12=AF12,$D12=AG12),'Tabla general'!$L$5,0))</f>
        <v>0</v>
      </c>
      <c r="AI12" s="38"/>
      <c r="AJ12" s="38"/>
      <c r="AK12" s="35">
        <f>IF(AND($C12="",$D12=""),0,IF(AND($C12&gt;$D12,AI12&gt;AJ12),'Tabla general'!$L$4,IF(AND($D12&gt;$C12,AJ12&gt;AI12),'Tabla general'!$L$4,IF(AND($C12=$D12,AI12=AJ12),'Tabla general'!$L$4,0))) + IF(AND($C12=AI12,$D12=AJ12),'Tabla general'!$L$5,0))</f>
        <v>0</v>
      </c>
      <c r="AL12" s="38"/>
      <c r="AM12" s="38"/>
      <c r="AN12" s="36">
        <f>IF(AND($C12="",$D12=""),0,IF(AND($C12&gt;$D12,AL12&gt;AM12),'Tabla general'!$L$4,IF(AND($D12&gt;$C12,AM12&gt;AL12),'Tabla general'!$L$4,IF(AND($C12=$D12,AL12=AM12),'Tabla general'!$L$4,0))) + IF(AND($C12=AL12,$D12=AM12),'Tabla general'!$L$5,0))</f>
        <v>0</v>
      </c>
      <c r="AO12" s="38"/>
      <c r="AP12" s="38"/>
      <c r="AQ12" s="37">
        <f>IF(AND($C12="",$D12=""),0,IF(AND($C12&gt;$D12,AO12&gt;AP12),'Tabla general'!$L$4,IF(AND($D12&gt;$C12,AP12&gt;AO12),'Tabla general'!$L$4,IF(AND($C12=$D12,AO12=AP12),'Tabla general'!$L$4,0))) + IF(AND($C12=AO12,$D12=AP12),'Tabla general'!$L$5,0))</f>
        <v>0</v>
      </c>
      <c r="AR12" s="38"/>
      <c r="AS12" s="38"/>
      <c r="AT12" s="34">
        <f>IF(AND($C12="",$D12=""),0,IF(AND($C12&gt;$D12,AR12&gt;AS12),'Tabla general'!$L$4,IF(AND($D12&gt;$C12,AS12&gt;AR12),'Tabla general'!$L$4,IF(AND($C12=$D12,AR12=AS12),'Tabla general'!$L$4,0))) + IF(AND($C12=AR12,$D12=AS12),'Tabla general'!$L$5,0))</f>
        <v>0</v>
      </c>
      <c r="AU12" s="38"/>
      <c r="AV12" s="38"/>
      <c r="AW12" s="35">
        <f>IF(AND($C12="",$D12=""),0,IF(AND($C12&gt;$D12,AU12&gt;AV12),'Tabla general'!$L$4,IF(AND($D12&gt;$C12,AV12&gt;AU12),'Tabla general'!$L$4,IF(AND($C12=$D12,AU12=AV12),'Tabla general'!$L$4,0))) + IF(AND($C12=AU12,$D12=AV12),'Tabla general'!$L$5,0))</f>
        <v>0</v>
      </c>
      <c r="AX12" s="48"/>
      <c r="AY12" s="46"/>
      <c r="AZ12" s="35">
        <f>IF(AND($C12="",$D12=""),0,IF(AND($C12&gt;$D12,AX12&gt;AY12),'Tabla general'!$L$4,IF(AND($D12&gt;$C12,AY12&gt;AX12),'Tabla general'!$L$4,IF(AND($C12=$D12,AX12=AY12),'Tabla general'!$L$4,0))) + IF(AND($C12=AX12,$D12=AY12),'Tabla general'!$L$5,0))</f>
        <v>0</v>
      </c>
    </row>
    <row r="13" spans="1:52">
      <c r="A13" s="2"/>
      <c r="B13" s="2"/>
      <c r="C13" s="49"/>
      <c r="D13" s="50"/>
      <c r="E13" s="38"/>
      <c r="F13" s="38"/>
      <c r="G13" s="39">
        <f>IF(AND($C13="",$D13=""),0,IF(AND($C13&gt;$D13,E13&gt;F13),'Tabla general'!$L$4,IF(AND($D13&gt;$C13,F13&gt;E13),'Tabla general'!$L$4,IF(AND($C13=$D13,E13=F13),'Tabla general'!$L$4,0))) + IF(AND($C13=E13,$D13=F13),'Tabla general'!$L$5,0))</f>
        <v>0</v>
      </c>
      <c r="H13" s="38"/>
      <c r="I13" s="38"/>
      <c r="J13" s="26">
        <f>IF(AND($C13="",$D13=""),0,IF(AND($C13&gt;$D13,H13&gt;I13),'Tabla general'!$L$4,IF(AND($D13&gt;$C13,I13&gt;H13),'Tabla general'!$L$4,IF(AND($C13=$D13,H13=I13),'Tabla general'!$L$4,0))) + IF(AND($C13=H13,$D13=I13),'Tabla general'!$L$5,0))</f>
        <v>0</v>
      </c>
      <c r="K13" s="38"/>
      <c r="L13" s="38"/>
      <c r="M13" s="27">
        <f>IF(AND($C13="",$D13=""),0,IF(AND($C13&gt;$D13,K13&gt;L13),'Tabla general'!$L$4,IF(AND($D13&gt;$C13,L13&gt;K13),'Tabla general'!$L$4,IF(AND($C13=$D13,K13=L13),'Tabla general'!$L$4,0))) + IF(AND($C13=K13,$D13=L13),'Tabla general'!$L$5,0))</f>
        <v>0</v>
      </c>
      <c r="N13" s="38"/>
      <c r="O13" s="38"/>
      <c r="P13" s="28">
        <f>IF(AND($C13="",$D13=""),0,IF(AND($C13&gt;$D13,N13&gt;O13),'Tabla general'!$L$4,IF(AND($D13&gt;$C13,O13&gt;N13),'Tabla general'!$L$4,IF(AND($C13=$D13,N13=O13),'Tabla general'!$L$4,0))) + IF(AND($C13=N13,$D13=O13),'Tabla general'!$L$5,0))</f>
        <v>0</v>
      </c>
      <c r="Q13" s="38"/>
      <c r="R13" s="38"/>
      <c r="S13" s="29">
        <f>IF(AND($C13="",$D13=""),0,IF(AND($C13&gt;$D13,Q13&gt;R13),'Tabla general'!$L$4,IF(AND($D13&gt;$C13,R13&gt;Q13),'Tabla general'!$L$4,IF(AND($C13=$D13,Q13=R13),'Tabla general'!$L$4,0))) + IF(AND($C13=Q13,$D13=R13),'Tabla general'!$L$5,0))</f>
        <v>0</v>
      </c>
      <c r="T13" s="38"/>
      <c r="U13" s="38"/>
      <c r="V13" s="30">
        <f>IF(AND($C13="",$D13=""),0,IF(AND($C13&gt;$D13,T13&gt;U13),'Tabla general'!$L$4,IF(AND($D13&gt;$C13,U13&gt;T13),'Tabla general'!$L$4,IF(AND($C13=$D13,T13=U13),'Tabla general'!$L$4,0))) + IF(AND($C13=T13,$D13=U13),'Tabla general'!$L$5,0))</f>
        <v>0</v>
      </c>
      <c r="W13" s="38"/>
      <c r="X13" s="38"/>
      <c r="Y13" s="31">
        <f>IF(AND($C13="",$D13=""),0,IF(AND($C13&gt;$D13,W13&gt;X13),'Tabla general'!$L$4,IF(AND($D13&gt;$C13,X13&gt;W13),'Tabla general'!$L$4,IF(AND($C13=$D13,W13=X13),'Tabla general'!$L$4,0))) + IF(AND($C13=W13,$D13=X13),'Tabla general'!$L$5,0))</f>
        <v>0</v>
      </c>
      <c r="Z13" s="38"/>
      <c r="AA13" s="38"/>
      <c r="AB13" s="32">
        <f>IF(AND($C13="",$D13=""),0,IF(AND($C13&gt;$D13,Z13&gt;AA13),'Tabla general'!$L$4,IF(AND($D13&gt;$C13,AA13&gt;Z13),'Tabla general'!$L$4,IF(AND($C13=$D13,Z13=AA13),'Tabla general'!$L$4,0))) + IF(AND($C13=Z13,$D13=AA13),'Tabla general'!$L$5,0))</f>
        <v>0</v>
      </c>
      <c r="AC13" s="38"/>
      <c r="AD13" s="38"/>
      <c r="AE13" s="33">
        <f>IF(AND($C13="",$D13=""),0,IF(AND($C13&gt;$D13,AC13&gt;AD13),'Tabla general'!$L$4,IF(AND($D13&gt;$C13,AD13&gt;AC13),'Tabla general'!$L$4,IF(AND($C13=$D13,AC13=AD13),'Tabla general'!$L$4,0))) + IF(AND($C13=AC13,$D13=AD13),'Tabla general'!$L$5,0))</f>
        <v>0</v>
      </c>
      <c r="AF13" s="38"/>
      <c r="AG13" s="38"/>
      <c r="AH13" s="34">
        <f>IF(AND($C13="",$D13=""),0,IF(AND($C13&gt;$D13,AF13&gt;AG13),'Tabla general'!$L$4,IF(AND($D13&gt;$C13,AG13&gt;AF13),'Tabla general'!$L$4,IF(AND($C13=$D13,AF13=AG13),'Tabla general'!$L$4,0))) + IF(AND($C13=AF13,$D13=AG13),'Tabla general'!$L$5,0))</f>
        <v>0</v>
      </c>
      <c r="AI13" s="38"/>
      <c r="AJ13" s="38"/>
      <c r="AK13" s="35">
        <f>IF(AND($C13="",$D13=""),0,IF(AND($C13&gt;$D13,AI13&gt;AJ13),'Tabla general'!$L$4,IF(AND($D13&gt;$C13,AJ13&gt;AI13),'Tabla general'!$L$4,IF(AND($C13=$D13,AI13=AJ13),'Tabla general'!$L$4,0))) + IF(AND($C13=AI13,$D13=AJ13),'Tabla general'!$L$5,0))</f>
        <v>0</v>
      </c>
      <c r="AL13" s="38"/>
      <c r="AM13" s="38"/>
      <c r="AN13" s="36">
        <f>IF(AND($C13="",$D13=""),0,IF(AND($C13&gt;$D13,AL13&gt;AM13),'Tabla general'!$L$4,IF(AND($D13&gt;$C13,AM13&gt;AL13),'Tabla general'!$L$4,IF(AND($C13=$D13,AL13=AM13),'Tabla general'!$L$4,0))) + IF(AND($C13=AL13,$D13=AM13),'Tabla general'!$L$5,0))</f>
        <v>0</v>
      </c>
      <c r="AO13" s="38"/>
      <c r="AP13" s="38"/>
      <c r="AQ13" s="37">
        <f>IF(AND($C13="",$D13=""),0,IF(AND($C13&gt;$D13,AO13&gt;AP13),'Tabla general'!$L$4,IF(AND($D13&gt;$C13,AP13&gt;AO13),'Tabla general'!$L$4,IF(AND($C13=$D13,AO13=AP13),'Tabla general'!$L$4,0))) + IF(AND($C13=AO13,$D13=AP13),'Tabla general'!$L$5,0))</f>
        <v>0</v>
      </c>
      <c r="AR13" s="38"/>
      <c r="AS13" s="38"/>
      <c r="AT13" s="34">
        <f>IF(AND($C13="",$D13=""),0,IF(AND($C13&gt;$D13,AR13&gt;AS13),'Tabla general'!$L$4,IF(AND($D13&gt;$C13,AS13&gt;AR13),'Tabla general'!$L$4,IF(AND($C13=$D13,AR13=AS13),'Tabla general'!$L$4,0))) + IF(AND($C13=AR13,$D13=AS13),'Tabla general'!$L$5,0))</f>
        <v>0</v>
      </c>
      <c r="AU13" s="38"/>
      <c r="AV13" s="38"/>
      <c r="AW13" s="35">
        <f>IF(AND($C13="",$D13=""),0,IF(AND($C13&gt;$D13,AU13&gt;AV13),'Tabla general'!$L$4,IF(AND($D13&gt;$C13,AV13&gt;AU13),'Tabla general'!$L$4,IF(AND($C13=$D13,AU13=AV13),'Tabla general'!$L$4,0))) + IF(AND($C13=AU13,$D13=AV13),'Tabla general'!$L$5,0))</f>
        <v>0</v>
      </c>
      <c r="AX13" s="48"/>
      <c r="AY13" s="46"/>
      <c r="AZ13" s="35">
        <f>IF(AND($C13="",$D13=""),0,IF(AND($C13&gt;$D13,AX13&gt;AY13),'Tabla general'!$L$4,IF(AND($D13&gt;$C13,AY13&gt;AX13),'Tabla general'!$L$4,IF(AND($C13=$D13,AX13=AY13),'Tabla general'!$L$4,0))) + IF(AND($C13=AX13,$D13=AY13),'Tabla general'!$L$5,0))</f>
        <v>0</v>
      </c>
    </row>
    <row r="14" spans="1:52">
      <c r="A14" s="2"/>
      <c r="B14" s="2"/>
      <c r="C14" s="2"/>
      <c r="D14" s="2"/>
      <c r="E14" s="160" t="s">
        <v>36</v>
      </c>
      <c r="F14" s="161"/>
      <c r="G14" s="40">
        <f>SUM(G$6:G$13,G$4)</f>
        <v>0</v>
      </c>
      <c r="H14" s="41"/>
      <c r="I14" s="41"/>
      <c r="J14" s="11">
        <f>SUM(J$6:J$13,J$4)</f>
        <v>0</v>
      </c>
      <c r="K14" s="42"/>
      <c r="L14" s="11"/>
      <c r="M14" s="11">
        <f>SUM(M$6:M$13,M$4)</f>
        <v>0</v>
      </c>
      <c r="N14" s="11"/>
      <c r="O14" s="11"/>
      <c r="P14" s="11">
        <f>SUM(P$6:P$13,P$4)</f>
        <v>0</v>
      </c>
      <c r="Q14" s="11"/>
      <c r="R14" s="11"/>
      <c r="S14" s="11">
        <f>SUM(S$6:S$13,S$4)</f>
        <v>0</v>
      </c>
      <c r="T14" s="11"/>
      <c r="U14" s="11"/>
      <c r="V14" s="11">
        <f>SUM(V$6:V$13,V$4)</f>
        <v>0</v>
      </c>
      <c r="W14" s="11"/>
      <c r="X14" s="11"/>
      <c r="Y14" s="11">
        <f>SUM(Y$6:Y$13,Y$4)</f>
        <v>0</v>
      </c>
      <c r="Z14" s="11"/>
      <c r="AA14" s="11"/>
      <c r="AB14" s="11">
        <f>SUM(AB$6:AB$13,AB$4)</f>
        <v>0</v>
      </c>
      <c r="AC14" s="11"/>
      <c r="AD14" s="11"/>
      <c r="AE14" s="11">
        <f>SUM(AE$6:AE$13,AE$4)</f>
        <v>0</v>
      </c>
      <c r="AF14" s="11"/>
      <c r="AG14" s="11"/>
      <c r="AH14" s="11">
        <f>SUM(AH$6:AH$13,AH$4)</f>
        <v>0</v>
      </c>
      <c r="AI14" s="11"/>
      <c r="AJ14" s="11"/>
      <c r="AK14" s="11">
        <f>SUM(AK$6:AK$13,AK$4)</f>
        <v>0</v>
      </c>
      <c r="AL14" s="11"/>
      <c r="AM14" s="11"/>
      <c r="AN14" s="11">
        <f>SUM(AN$6:AN$13,AN$4)</f>
        <v>0</v>
      </c>
      <c r="AO14" s="11"/>
      <c r="AP14" s="11"/>
      <c r="AQ14" s="11">
        <f>SUM(AQ$6:AQ$13,AQ$4)</f>
        <v>0</v>
      </c>
      <c r="AR14" s="11"/>
      <c r="AS14" s="11"/>
      <c r="AT14" s="11">
        <f>SUM(AT$6:AT$13,AT$4)</f>
        <v>0</v>
      </c>
      <c r="AU14" s="11"/>
      <c r="AV14" s="11"/>
      <c r="AW14" s="11">
        <f>SUM(AW$6:AW$13,AW$4)</f>
        <v>0</v>
      </c>
      <c r="AX14" s="2"/>
      <c r="AY14" s="2"/>
      <c r="AZ14" s="2">
        <f>SUM(AZ$6:AZ$13,AZ$4)</f>
        <v>0</v>
      </c>
    </row>
  </sheetData>
  <mergeCells count="54">
    <mergeCell ref="H3:I3"/>
    <mergeCell ref="K3:L3"/>
    <mergeCell ref="N3:O3"/>
    <mergeCell ref="Q3:R3"/>
    <mergeCell ref="AR3:AS3"/>
    <mergeCell ref="AU3:AV3"/>
    <mergeCell ref="AX3:AY3"/>
    <mergeCell ref="C4:D4"/>
    <mergeCell ref="E4:F4"/>
    <mergeCell ref="H4:I4"/>
    <mergeCell ref="K4:L4"/>
    <mergeCell ref="N4:O4"/>
    <mergeCell ref="T3:U3"/>
    <mergeCell ref="W3:X3"/>
    <mergeCell ref="Z3:AA3"/>
    <mergeCell ref="AC3:AD3"/>
    <mergeCell ref="AF3:AG3"/>
    <mergeCell ref="AI3:AJ3"/>
    <mergeCell ref="C3:D3"/>
    <mergeCell ref="E3:F3"/>
    <mergeCell ref="AR4:AS4"/>
    <mergeCell ref="AU4:AV4"/>
    <mergeCell ref="AX4:AY4"/>
    <mergeCell ref="Q4:R4"/>
    <mergeCell ref="T4:U4"/>
    <mergeCell ref="W4:X4"/>
    <mergeCell ref="Z4:AA4"/>
    <mergeCell ref="AC4:AD4"/>
    <mergeCell ref="AF4:AG4"/>
    <mergeCell ref="AR5:AS5"/>
    <mergeCell ref="AU5:AV5"/>
    <mergeCell ref="AX5:AY5"/>
    <mergeCell ref="Q5:R5"/>
    <mergeCell ref="T5:U5"/>
    <mergeCell ref="W5:X5"/>
    <mergeCell ref="Z5:AA5"/>
    <mergeCell ref="AC5:AD5"/>
    <mergeCell ref="AF5:AG5"/>
    <mergeCell ref="E14:F14"/>
    <mergeCell ref="A1:D1"/>
    <mergeCell ref="AI5:AJ5"/>
    <mergeCell ref="AL5:AM5"/>
    <mergeCell ref="AO5:AP5"/>
    <mergeCell ref="A5:B5"/>
    <mergeCell ref="C5:D5"/>
    <mergeCell ref="E5:F5"/>
    <mergeCell ref="H5:I5"/>
    <mergeCell ref="K5:L5"/>
    <mergeCell ref="N5:O5"/>
    <mergeCell ref="AI4:AJ4"/>
    <mergeCell ref="AL4:AM4"/>
    <mergeCell ref="AO4:AP4"/>
    <mergeCell ref="AL3:AM3"/>
    <mergeCell ref="AO3:AP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KevinSalomon</dc:creator>
  <cp:keywords/>
  <dc:description/>
  <cp:lastModifiedBy/>
  <cp:revision/>
  <dcterms:created xsi:type="dcterms:W3CDTF">2016-05-29T17:24:25Z</dcterms:created>
  <dcterms:modified xsi:type="dcterms:W3CDTF">2026-03-24T05:04:03Z</dcterms:modified>
  <cp:category/>
  <cp:contentStatus/>
</cp:coreProperties>
</file>