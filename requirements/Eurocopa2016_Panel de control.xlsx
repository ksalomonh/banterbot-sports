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2"/>
  <workbookPr/>
  <mc:AlternateContent xmlns:mc="http://schemas.openxmlformats.org/markup-compatibility/2006">
    <mc:Choice Requires="x15">
      <x15ac:absPath xmlns:x15ac="http://schemas.microsoft.com/office/spreadsheetml/2010/11/ac" url="https://d.docs.live.net/9de2d702cf34cf5d/Eurocopa2016_Primos/"/>
    </mc:Choice>
  </mc:AlternateContent>
  <xr:revisionPtr revIDLastSave="0" documentId="8_{810E55BE-A78A-448C-8252-B093203DDA7C}" xr6:coauthVersionLast="47" xr6:coauthVersionMax="47" xr10:uidLastSave="{00000000-0000-0000-0000-000000000000}"/>
  <bookViews>
    <workbookView xWindow="0" yWindow="0" windowWidth="8280" windowHeight="14715" firstSheet="7" activeTab="7" xr2:uid="{00000000-000D-0000-FFFF-FFFF00000000}"/>
  </bookViews>
  <sheets>
    <sheet name="Bases" sheetId="2" r:id="rId1"/>
    <sheet name="Participantes" sheetId="1" r:id="rId2"/>
    <sheet name="Tabla general" sheetId="3" r:id="rId3"/>
    <sheet name="Jornada 1 - Partidos" sheetId="4" r:id="rId4"/>
    <sheet name="Jornada 2 - Partidos" sheetId="14" r:id="rId5"/>
    <sheet name="Jornada 3 - Partidos" sheetId="11" r:id="rId6"/>
    <sheet name="Octavos - Partidos" sheetId="12" r:id="rId7"/>
    <sheet name="Finales - Partidos" sheetId="13" r:id="rId8"/>
  </sheets>
  <definedNames>
    <definedName name="participantes">Participantes!$A$2:$C$91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4" i="13" l="1"/>
  <c r="C4" i="12"/>
  <c r="G6" i="12"/>
  <c r="G7" i="12"/>
  <c r="G8" i="12"/>
  <c r="G9" i="12"/>
  <c r="G10" i="12"/>
  <c r="G11" i="12"/>
  <c r="G12" i="12"/>
  <c r="G13" i="12"/>
  <c r="E4" i="12"/>
  <c r="G4" i="12"/>
  <c r="G6" i="4"/>
  <c r="G7" i="4"/>
  <c r="G8" i="4"/>
  <c r="G9" i="4"/>
  <c r="G10" i="4"/>
  <c r="G11" i="4"/>
  <c r="G12" i="4"/>
  <c r="G13" i="4"/>
  <c r="G14" i="4"/>
  <c r="G15" i="4"/>
  <c r="G16" i="4"/>
  <c r="G17" i="4"/>
  <c r="E4" i="4"/>
  <c r="C4" i="4"/>
  <c r="G4" i="4"/>
  <c r="G18" i="4"/>
  <c r="G6" i="14"/>
  <c r="G7" i="14"/>
  <c r="G8" i="14"/>
  <c r="G9" i="14"/>
  <c r="G10" i="14"/>
  <c r="G11" i="14"/>
  <c r="G12" i="14"/>
  <c r="G13" i="14"/>
  <c r="G14" i="14"/>
  <c r="G15" i="14"/>
  <c r="G16" i="14"/>
  <c r="G17" i="14"/>
  <c r="E4" i="14"/>
  <c r="C4" i="14"/>
  <c r="G4" i="14" s="1"/>
  <c r="G18" i="14" s="1"/>
  <c r="G6" i="11"/>
  <c r="G7" i="11"/>
  <c r="G8" i="11"/>
  <c r="G9" i="11"/>
  <c r="G10" i="11"/>
  <c r="G11" i="11"/>
  <c r="G12" i="11"/>
  <c r="G13" i="11"/>
  <c r="G14" i="11"/>
  <c r="G15" i="11"/>
  <c r="G16" i="11"/>
  <c r="G17" i="11"/>
  <c r="E4" i="11"/>
  <c r="C4" i="11"/>
  <c r="G4" i="11" s="1"/>
  <c r="G18" i="11" s="1"/>
  <c r="G6" i="13"/>
  <c r="G7" i="13"/>
  <c r="G8" i="13"/>
  <c r="G9" i="13"/>
  <c r="G10" i="13"/>
  <c r="G11" i="13"/>
  <c r="G12" i="13"/>
  <c r="G4" i="13"/>
  <c r="G13" i="13"/>
  <c r="S6" i="12"/>
  <c r="S7" i="12"/>
  <c r="S8" i="12"/>
  <c r="S9" i="12"/>
  <c r="S10" i="12"/>
  <c r="S11" i="12"/>
  <c r="S12" i="12"/>
  <c r="S13" i="12"/>
  <c r="Q4" i="12"/>
  <c r="S4" i="12"/>
  <c r="S6" i="4"/>
  <c r="S7" i="4"/>
  <c r="S8" i="4"/>
  <c r="S9" i="4"/>
  <c r="S10" i="4"/>
  <c r="S11" i="4"/>
  <c r="S12" i="4"/>
  <c r="S13" i="4"/>
  <c r="S14" i="4"/>
  <c r="S15" i="4"/>
  <c r="S16" i="4"/>
  <c r="S17" i="4"/>
  <c r="Q4" i="4"/>
  <c r="S4" i="4"/>
  <c r="S6" i="14"/>
  <c r="S7" i="14"/>
  <c r="S8" i="14"/>
  <c r="S9" i="14"/>
  <c r="S10" i="14"/>
  <c r="S11" i="14"/>
  <c r="S12" i="14"/>
  <c r="S13" i="14"/>
  <c r="S14" i="14"/>
  <c r="S15" i="14"/>
  <c r="S16" i="14"/>
  <c r="S17" i="14"/>
  <c r="Q4" i="14"/>
  <c r="S4" i="14"/>
  <c r="S6" i="11"/>
  <c r="S7" i="11"/>
  <c r="S8" i="11"/>
  <c r="S9" i="11"/>
  <c r="S10" i="11"/>
  <c r="S11" i="11"/>
  <c r="S12" i="11"/>
  <c r="S13" i="11"/>
  <c r="S14" i="11"/>
  <c r="S15" i="11"/>
  <c r="S16" i="11"/>
  <c r="S17" i="11"/>
  <c r="Q4" i="11"/>
  <c r="S4" i="11"/>
  <c r="S6" i="13"/>
  <c r="S7" i="13"/>
  <c r="S8" i="13"/>
  <c r="S9" i="13"/>
  <c r="S10" i="13"/>
  <c r="S11" i="13"/>
  <c r="S12" i="13"/>
  <c r="S4" i="13"/>
  <c r="P6" i="12"/>
  <c r="N4" i="12"/>
  <c r="P4" i="12"/>
  <c r="P7" i="12"/>
  <c r="P8" i="12"/>
  <c r="P9" i="12"/>
  <c r="P10" i="12"/>
  <c r="P11" i="12"/>
  <c r="P12" i="12"/>
  <c r="P13" i="12"/>
  <c r="P6" i="4"/>
  <c r="P7" i="4"/>
  <c r="P8" i="4"/>
  <c r="P9" i="4"/>
  <c r="P10" i="4"/>
  <c r="P11" i="4"/>
  <c r="P12" i="4"/>
  <c r="P13" i="4"/>
  <c r="P14" i="4"/>
  <c r="P15" i="4"/>
  <c r="P16" i="4"/>
  <c r="P17" i="4"/>
  <c r="N4" i="4"/>
  <c r="P4" i="4"/>
  <c r="P18" i="4"/>
  <c r="P6" i="14"/>
  <c r="P7" i="14"/>
  <c r="P8" i="14"/>
  <c r="P9" i="14"/>
  <c r="P10" i="14"/>
  <c r="P11" i="14"/>
  <c r="P12" i="14"/>
  <c r="P13" i="14"/>
  <c r="P14" i="14"/>
  <c r="P15" i="14"/>
  <c r="P16" i="14"/>
  <c r="P17" i="14"/>
  <c r="N4" i="14"/>
  <c r="P4" i="14"/>
  <c r="P6" i="11"/>
  <c r="P7" i="11"/>
  <c r="P8" i="11"/>
  <c r="P9" i="11"/>
  <c r="P10" i="11"/>
  <c r="P11" i="11"/>
  <c r="P12" i="11"/>
  <c r="P13" i="11"/>
  <c r="P14" i="11"/>
  <c r="P15" i="11"/>
  <c r="P16" i="11"/>
  <c r="P17" i="11"/>
  <c r="N4" i="11"/>
  <c r="P4" i="11"/>
  <c r="P6" i="13"/>
  <c r="P7" i="13"/>
  <c r="P8" i="13"/>
  <c r="P9" i="13"/>
  <c r="P10" i="13"/>
  <c r="P11" i="13"/>
  <c r="P12" i="13"/>
  <c r="P4" i="13"/>
  <c r="P13" i="13"/>
  <c r="M6" i="12"/>
  <c r="K4" i="12"/>
  <c r="M4" i="12"/>
  <c r="M7" i="12"/>
  <c r="M8" i="12"/>
  <c r="M11" i="12"/>
  <c r="M10" i="12"/>
  <c r="M12" i="12"/>
  <c r="M9" i="12"/>
  <c r="M13" i="12"/>
  <c r="M6" i="4"/>
  <c r="M7" i="4"/>
  <c r="M8" i="4"/>
  <c r="M9" i="4"/>
  <c r="M10" i="4"/>
  <c r="M11" i="4"/>
  <c r="M12" i="4"/>
  <c r="M13" i="4"/>
  <c r="M14" i="4"/>
  <c r="M15" i="4"/>
  <c r="M16" i="4"/>
  <c r="M17" i="4"/>
  <c r="K4" i="4"/>
  <c r="M4" i="4"/>
  <c r="M18" i="4"/>
  <c r="M6" i="14"/>
  <c r="M7" i="14"/>
  <c r="M8" i="14"/>
  <c r="M9" i="14"/>
  <c r="M10" i="14"/>
  <c r="M11" i="14"/>
  <c r="M12" i="14"/>
  <c r="M13" i="14"/>
  <c r="M14" i="14"/>
  <c r="M15" i="14"/>
  <c r="M16" i="14"/>
  <c r="M17" i="14"/>
  <c r="M4" i="14"/>
  <c r="M6" i="11"/>
  <c r="M7" i="11"/>
  <c r="M8" i="11"/>
  <c r="M9" i="11"/>
  <c r="M10" i="11"/>
  <c r="M11" i="11"/>
  <c r="M12" i="11"/>
  <c r="M13" i="11"/>
  <c r="M14" i="11"/>
  <c r="M15" i="11"/>
  <c r="M16" i="11"/>
  <c r="M17" i="11"/>
  <c r="K4" i="11"/>
  <c r="M4" i="11"/>
  <c r="M6" i="13"/>
  <c r="M7" i="13"/>
  <c r="M8" i="13"/>
  <c r="M9" i="13"/>
  <c r="M10" i="13"/>
  <c r="M11" i="13"/>
  <c r="M12" i="13"/>
  <c r="M4" i="13"/>
  <c r="M13" i="13"/>
  <c r="J6" i="12"/>
  <c r="H4" i="12"/>
  <c r="J4" i="12"/>
  <c r="J7" i="12"/>
  <c r="J8" i="12"/>
  <c r="J9" i="12"/>
  <c r="J10" i="12"/>
  <c r="J11" i="12"/>
  <c r="J12" i="12"/>
  <c r="J13" i="12"/>
  <c r="J14" i="12"/>
  <c r="J6" i="4"/>
  <c r="J7" i="4"/>
  <c r="J8" i="4"/>
  <c r="J9" i="4"/>
  <c r="J10" i="4"/>
  <c r="J11" i="4"/>
  <c r="J12" i="4"/>
  <c r="J13" i="4"/>
  <c r="J14" i="4"/>
  <c r="J15" i="4"/>
  <c r="J16" i="4"/>
  <c r="J17" i="4"/>
  <c r="H4" i="4"/>
  <c r="J4" i="4"/>
  <c r="J6" i="14"/>
  <c r="J7" i="14"/>
  <c r="J8" i="14"/>
  <c r="J9" i="14"/>
  <c r="J10" i="14"/>
  <c r="J11" i="14"/>
  <c r="J12" i="14"/>
  <c r="J13" i="14"/>
  <c r="J14" i="14"/>
  <c r="J15" i="14"/>
  <c r="J16" i="14"/>
  <c r="J17" i="14"/>
  <c r="H4" i="14"/>
  <c r="J4" i="14"/>
  <c r="J6" i="11"/>
  <c r="J7" i="11"/>
  <c r="J8" i="11"/>
  <c r="J9" i="11"/>
  <c r="J10" i="11"/>
  <c r="J11" i="11"/>
  <c r="J12" i="11"/>
  <c r="J13" i="11"/>
  <c r="J14" i="11"/>
  <c r="J15" i="11"/>
  <c r="J16" i="11"/>
  <c r="J17" i="11"/>
  <c r="H4" i="11"/>
  <c r="J4" i="11"/>
  <c r="J6" i="13"/>
  <c r="J7" i="13"/>
  <c r="J8" i="13"/>
  <c r="J9" i="13"/>
  <c r="J10" i="13"/>
  <c r="J11" i="13"/>
  <c r="J12" i="13"/>
  <c r="J4" i="13"/>
  <c r="J13" i="13"/>
  <c r="Q3" i="14"/>
  <c r="N3" i="14"/>
  <c r="K3" i="14"/>
  <c r="H3" i="14"/>
  <c r="E3" i="14"/>
  <c r="E8" i="1"/>
  <c r="Q3" i="13"/>
  <c r="N3" i="13"/>
  <c r="K3" i="13"/>
  <c r="H3" i="13"/>
  <c r="E3" i="13"/>
  <c r="Q3" i="12"/>
  <c r="N3" i="12"/>
  <c r="K3" i="12"/>
  <c r="H3" i="12"/>
  <c r="E3" i="12"/>
  <c r="Q3" i="11"/>
  <c r="N3" i="11"/>
  <c r="K3" i="11"/>
  <c r="H3" i="11"/>
  <c r="E3" i="11"/>
  <c r="H3" i="4"/>
  <c r="K3" i="4"/>
  <c r="N3" i="4"/>
  <c r="Q3" i="4"/>
  <c r="E3" i="4"/>
  <c r="B7" i="3"/>
  <c r="B8" i="3"/>
  <c r="B5" i="3"/>
  <c r="B4" i="3"/>
  <c r="B6" i="3"/>
  <c r="B8" i="2"/>
  <c r="S13" i="13"/>
  <c r="P18" i="11"/>
  <c r="S18" i="4"/>
  <c r="G14" i="12"/>
  <c r="C6" i="3"/>
  <c r="J18" i="14"/>
  <c r="M14" i="12"/>
  <c r="S18" i="11"/>
  <c r="J18" i="11" l="1"/>
  <c r="J18" i="4"/>
  <c r="C7" i="3" s="1"/>
  <c r="M18" i="11"/>
  <c r="M18" i="14"/>
  <c r="C8" i="3" s="1"/>
  <c r="P18" i="14"/>
  <c r="P14" i="12"/>
  <c r="S18" i="14"/>
  <c r="S14" i="12"/>
  <c r="C4" i="3" l="1"/>
  <c r="C5" i="3"/>
</calcChain>
</file>

<file path=xl/sharedStrings.xml><?xml version="1.0" encoding="utf-8"?>
<sst xmlns="http://schemas.openxmlformats.org/spreadsheetml/2006/main" count="264" uniqueCount="78">
  <si>
    <t>Torneo entre amigos</t>
  </si>
  <si>
    <t>Participación en el torneo basado en las quinielas tradicionales</t>
  </si>
  <si>
    <t>Torneos:</t>
  </si>
  <si>
    <t>Todos los partidos de la Eurocopa 2016 (hasta la final)</t>
  </si>
  <si>
    <t>Bases:</t>
  </si>
  <si>
    <t>Esta competencia toma como base las quinielas tracionales.
Consiste en lo siguiente:
1.- El participante debe pronosticar por cada partido el resultado que tendrá, indicando los goles anotados por los equipos.
2.- El torneo se dividirá en 4 semanas.
                  Sem 1 - 10 al 16 de junio. (18 partidos)
                  Sem 2 - 17 al 24 de junio. (18 partidos)
                  Sem 3 - 25 al 27 de junio. (8 partidos)
                  Sem 4 - 30 de junio al 10 de julio. (7 partidos)
3.- Por cada semana se jugarán tres puntos adicionales por lo que serán un total de 12 puntos, apoyando con esto a generar desempates.
4.- Existe un solo ganador de la bolsa y este será el participante con mayor número de puntos obtenidos durante el torneo. En caso de empates la bolsa se dividirá en partes iguales entre el número de participates que se encuentren en esta situación.</t>
  </si>
  <si>
    <t>Puntos:</t>
  </si>
  <si>
    <t>La obtención de los puntos es de la siguiente forma:
1.- Se obtendrá un punto por pronosticar correctamente al ganador o empate por cualquier resultado que se presente.
                 Ejemplo: España 2 - 1 Francia. En caso de ganar España por este u otro resultado se genera el punto.
2.- Se obtiene un segundo punto por cada partido, cuando se pronostique correctamente el resultado del mismo, es decir, siguiendo con el ejemplo anterior, en caso de la victoria española por 2 a 1 se generará el punto.
3.- El participante pronosticará la cantidad de goles que se anotarán por cada semana, de forma independiente a los indicados en los resultados pronosticados de los partidos. Si la cuota efectivamente se cumple el participaten genera 3 puntos por cada semana que acierte.</t>
  </si>
  <si>
    <t>Ganador:</t>
  </si>
  <si>
    <t>Un único ganador, el participante con mayor número de puntos generados se convierte en campeón de la Eurocopa 2016 y se lleva la bolsa acumulada.
En caso de existir dos o más participantes ganadores se dividirá la bolsa en proporciones iguales entre ellos.</t>
  </si>
  <si>
    <t>Costo:</t>
  </si>
  <si>
    <t>Bolsa:</t>
  </si>
  <si>
    <t>¿Participas?</t>
  </si>
  <si>
    <t>Si. Ve a la pestaña de "Participantes" y registra tus datos y tu id en la lista.</t>
  </si>
  <si>
    <t>Cierre de incripción:</t>
  </si>
  <si>
    <t>Jueve 9 de junio a las 7pm.</t>
  </si>
  <si>
    <t>id</t>
  </si>
  <si>
    <t>Nombre</t>
  </si>
  <si>
    <t>Lugar</t>
  </si>
  <si>
    <t>Pagado</t>
  </si>
  <si>
    <t>Carlos Ruíz</t>
  </si>
  <si>
    <t>Ver.</t>
  </si>
  <si>
    <t>No</t>
  </si>
  <si>
    <t>Javier Ruíz</t>
  </si>
  <si>
    <t>Jair Salomón</t>
  </si>
  <si>
    <t>Tamp.</t>
  </si>
  <si>
    <t>Kevin Salomón</t>
  </si>
  <si>
    <t>Ags.</t>
  </si>
  <si>
    <t>Roberto Ruíz</t>
  </si>
  <si>
    <t>Yuc.</t>
  </si>
  <si>
    <t>Francisco</t>
  </si>
  <si>
    <t>Tabla General</t>
  </si>
  <si>
    <t>Participante</t>
  </si>
  <si>
    <t>Pronostico de resultado.</t>
  </si>
  <si>
    <t>Puntos</t>
  </si>
  <si>
    <t>Partido</t>
  </si>
  <si>
    <t>Resultado</t>
  </si>
  <si>
    <t>Goles</t>
  </si>
  <si>
    <t>Partidos del 10 al 14 de junio</t>
  </si>
  <si>
    <t>ids</t>
  </si>
  <si>
    <t>Participantes</t>
  </si>
  <si>
    <t>Goles oficiales</t>
  </si>
  <si>
    <t>Goles de la semana</t>
  </si>
  <si>
    <t>Partidos</t>
  </si>
  <si>
    <t>Marcadores oficiales</t>
  </si>
  <si>
    <t>Predicción</t>
  </si>
  <si>
    <t>Francia</t>
  </si>
  <si>
    <t>Rumania</t>
  </si>
  <si>
    <t>Albania</t>
  </si>
  <si>
    <t>Suiza</t>
  </si>
  <si>
    <t>Gales</t>
  </si>
  <si>
    <t>Eslovaquia</t>
  </si>
  <si>
    <t>Inglaterra</t>
  </si>
  <si>
    <t>Rusia</t>
  </si>
  <si>
    <t>Turquia</t>
  </si>
  <si>
    <t>Croacia</t>
  </si>
  <si>
    <t>Polonia</t>
  </si>
  <si>
    <t>Irlanda del norte</t>
  </si>
  <si>
    <t>Alemania</t>
  </si>
  <si>
    <t>Ucrania</t>
  </si>
  <si>
    <t>España</t>
  </si>
  <si>
    <t>Republica Checa</t>
  </si>
  <si>
    <t>Republica de Irlanda</t>
  </si>
  <si>
    <t>Suecia</t>
  </si>
  <si>
    <t>Belgica</t>
  </si>
  <si>
    <t>Italia</t>
  </si>
  <si>
    <t>Austria</t>
  </si>
  <si>
    <t>Hungría</t>
  </si>
  <si>
    <t>Portugal</t>
  </si>
  <si>
    <t>Islandia</t>
  </si>
  <si>
    <t>Suma:</t>
  </si>
  <si>
    <t>Partidos del 15 al 18 de junio</t>
  </si>
  <si>
    <t>Hungria</t>
  </si>
  <si>
    <t>Partidos del 19 al 22 de junio</t>
  </si>
  <si>
    <t>Partidos del 25 al 27 de junio (Octavos de final)</t>
  </si>
  <si>
    <t>Irlanda del Norte</t>
  </si>
  <si>
    <t>Bélgica</t>
  </si>
  <si>
    <t>Partidos del 30 de junio al 10 de julio (Cuartos de final, semifinales y 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</si>
</sst>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quot;$&quot;* #,##0.00_-;_-&quot;$&quot;* &quot;-&quot;??_-;_-@_-"/>
    <numFmt numFmtId="165" formatCode="_-[$$-80A]* #,##0.00_-;\-[$$-80A]* #,##0.00_-;_-[$$-80A]* &quot;-&quot;??_-;_-@_-"/>
  </numFmts>
  <fonts count="3">
    <font>
      <sz val="11"/>
      <color theme="1"/>
      <name val="Calibri"/>
      <family val="2"/>
      <scheme val="minor"/>
    </font>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FFC000"/>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theme="5" tint="-0.249977111117893"/>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auto="1"/>
      </top>
      <bottom style="medium">
        <color auto="1"/>
      </bottom>
      <diagonal/>
    </border>
    <border>
      <left/>
      <right/>
      <top style="thin">
        <color auto="1"/>
      </top>
      <bottom/>
      <diagonal/>
    </border>
    <border>
      <left style="thin">
        <color auto="1"/>
      </left>
      <right/>
      <top/>
      <bottom style="thin">
        <color auto="1"/>
      </bottom>
      <diagonal/>
    </border>
    <border>
      <left/>
      <right style="thin">
        <color auto="1"/>
      </right>
      <top style="medium">
        <color auto="1"/>
      </top>
      <bottom style="medium">
        <color auto="1"/>
      </bottom>
      <diagonal/>
    </border>
    <border>
      <left/>
      <right style="thin">
        <color auto="1"/>
      </right>
      <top/>
      <bottom style="thin">
        <color auto="1"/>
      </bottom>
      <diagonal/>
    </border>
    <border>
      <left/>
      <right/>
      <top style="thin">
        <color auto="1"/>
      </top>
      <bottom style="thin">
        <color auto="1"/>
      </bottom>
      <diagonal/>
    </border>
    <border>
      <left/>
      <right/>
      <top style="medium">
        <color auto="1"/>
      </top>
      <bottom style="medium">
        <color auto="1"/>
      </bottom>
      <diagonal/>
    </border>
  </borders>
  <cellStyleXfs count="2">
    <xf numFmtId="0" fontId="0" fillId="0" borderId="0"/>
    <xf numFmtId="164" fontId="1" fillId="0" borderId="0" applyFont="0" applyFill="0" applyBorder="0" applyAlignment="0" applyProtection="0"/>
  </cellStyleXfs>
  <cellXfs count="81">
    <xf numFmtId="0" fontId="0" fillId="0" borderId="0" xfId="0"/>
    <xf numFmtId="0" fontId="0" fillId="0" borderId="0" xfId="0" applyAlignment="1">
      <alignment vertical="top" wrapText="1"/>
    </xf>
    <xf numFmtId="0" fontId="0" fillId="0" borderId="0" xfId="0" applyAlignment="1">
      <alignment vertical="top"/>
    </xf>
    <xf numFmtId="164" fontId="0" fillId="0" borderId="0" xfId="1" applyFont="1"/>
    <xf numFmtId="0" fontId="0" fillId="0" borderId="0" xfId="0" applyFont="1" applyAlignment="1">
      <alignment horizontal="center" vertical="top"/>
    </xf>
    <xf numFmtId="0" fontId="0" fillId="0" borderId="1" xfId="0" applyBorder="1"/>
    <xf numFmtId="0" fontId="0" fillId="4" borderId="1" xfId="0" applyFill="1" applyBorder="1"/>
    <xf numFmtId="0" fontId="0" fillId="2" borderId="1" xfId="0" applyFill="1" applyBorder="1"/>
    <xf numFmtId="0" fontId="0" fillId="6" borderId="1" xfId="0" applyFill="1" applyBorder="1"/>
    <xf numFmtId="0" fontId="0" fillId="7" borderId="1" xfId="0" applyFill="1" applyBorder="1"/>
    <xf numFmtId="0" fontId="0" fillId="0" borderId="4" xfId="0" applyBorder="1"/>
    <xf numFmtId="0" fontId="0" fillId="0" borderId="7" xfId="0" applyBorder="1"/>
    <xf numFmtId="0" fontId="0" fillId="7" borderId="7" xfId="0" applyFill="1" applyBorder="1"/>
    <xf numFmtId="0" fontId="0" fillId="2" borderId="7" xfId="0" applyFill="1" applyBorder="1"/>
    <xf numFmtId="0" fontId="0" fillId="4" borderId="7" xfId="0" applyFill="1" applyBorder="1"/>
    <xf numFmtId="0" fontId="0" fillId="6" borderId="7" xfId="0" applyFill="1" applyBorder="1"/>
    <xf numFmtId="0" fontId="0" fillId="0" borderId="2" xfId="0" applyBorder="1"/>
    <xf numFmtId="0" fontId="0" fillId="0" borderId="12" xfId="0" applyBorder="1" applyAlignment="1">
      <alignment horizontal="center" vertical="top"/>
    </xf>
    <xf numFmtId="0" fontId="0" fillId="3" borderId="4" xfId="0" applyFill="1" applyBorder="1" applyAlignment="1">
      <alignment horizontal="center"/>
    </xf>
    <xf numFmtId="0" fontId="0" fillId="2" borderId="9" xfId="0" applyFill="1" applyBorder="1" applyAlignment="1">
      <alignment horizontal="center"/>
    </xf>
    <xf numFmtId="0" fontId="0" fillId="4" borderId="9" xfId="0" applyFill="1" applyBorder="1" applyAlignment="1">
      <alignment horizontal="center"/>
    </xf>
    <xf numFmtId="0" fontId="0" fillId="6" borderId="9" xfId="0" applyFill="1" applyBorder="1" applyAlignment="1">
      <alignment horizontal="center"/>
    </xf>
    <xf numFmtId="0" fontId="0" fillId="3" borderId="7" xfId="0" applyFill="1" applyBorder="1" applyAlignment="1">
      <alignment horizontal="center" vertical="top"/>
    </xf>
    <xf numFmtId="0" fontId="0" fillId="0" borderId="14" xfId="0" applyBorder="1"/>
    <xf numFmtId="0" fontId="0" fillId="0" borderId="3" xfId="0" applyBorder="1"/>
    <xf numFmtId="0" fontId="0" fillId="7" borderId="4" xfId="0" applyFill="1" applyBorder="1" applyAlignment="1">
      <alignment horizontal="center"/>
    </xf>
    <xf numFmtId="0" fontId="0" fillId="8" borderId="7" xfId="0" applyFill="1" applyBorder="1"/>
    <xf numFmtId="0" fontId="0" fillId="8" borderId="1" xfId="0" applyFill="1" applyBorder="1"/>
    <xf numFmtId="0" fontId="0" fillId="8" borderId="12" xfId="0" applyFill="1" applyBorder="1"/>
    <xf numFmtId="0" fontId="0" fillId="8" borderId="3" xfId="0" applyFill="1" applyBorder="1"/>
    <xf numFmtId="0" fontId="0" fillId="7" borderId="1" xfId="0" applyFill="1" applyBorder="1" applyAlignment="1">
      <alignment horizontal="center"/>
    </xf>
    <xf numFmtId="0" fontId="0" fillId="2" borderId="1" xfId="0" applyFill="1" applyBorder="1" applyAlignment="1">
      <alignment horizontal="center"/>
    </xf>
    <xf numFmtId="0" fontId="0" fillId="4" borderId="1" xfId="0" applyFill="1" applyBorder="1" applyAlignment="1">
      <alignment horizontal="center"/>
    </xf>
    <xf numFmtId="0" fontId="0" fillId="6" borderId="1" xfId="0" applyFill="1" applyBorder="1" applyAlignment="1">
      <alignment horizontal="center"/>
    </xf>
    <xf numFmtId="0" fontId="2" fillId="9" borderId="1" xfId="0" applyFont="1" applyFill="1" applyBorder="1"/>
    <xf numFmtId="165" fontId="0" fillId="0" borderId="0" xfId="0" applyNumberFormat="1"/>
    <xf numFmtId="0" fontId="0" fillId="5" borderId="7" xfId="0" applyFill="1" applyBorder="1" applyProtection="1">
      <protection locked="0"/>
    </xf>
    <xf numFmtId="0" fontId="0" fillId="5" borderId="10" xfId="0" applyFill="1" applyBorder="1" applyProtection="1">
      <protection locked="0"/>
    </xf>
    <xf numFmtId="0" fontId="0" fillId="0" borderId="1" xfId="0" applyBorder="1" applyProtection="1">
      <protection locked="0"/>
    </xf>
    <xf numFmtId="0" fontId="0" fillId="3" borderId="1" xfId="0" applyFill="1" applyBorder="1" applyAlignment="1">
      <alignment horizontal="center"/>
    </xf>
    <xf numFmtId="0" fontId="0" fillId="6" borderId="8" xfId="0" applyFill="1" applyBorder="1" applyAlignment="1">
      <alignment horizontal="center"/>
    </xf>
    <xf numFmtId="0" fontId="0" fillId="3" borderId="8" xfId="0" applyFill="1" applyBorder="1" applyAlignment="1">
      <alignment horizontal="center"/>
    </xf>
    <xf numFmtId="0" fontId="0" fillId="7" borderId="8" xfId="0" applyFill="1" applyBorder="1" applyAlignment="1">
      <alignment horizontal="center"/>
    </xf>
    <xf numFmtId="0" fontId="0" fillId="2" borderId="8" xfId="0" applyFill="1" applyBorder="1" applyAlignment="1">
      <alignment horizontal="center"/>
    </xf>
    <xf numFmtId="0" fontId="0" fillId="4" borderId="8" xfId="0" applyFill="1" applyBorder="1" applyAlignment="1">
      <alignment horizontal="center"/>
    </xf>
    <xf numFmtId="0" fontId="0" fillId="0" borderId="0" xfId="0" applyAlignment="1">
      <alignment horizontal="center"/>
    </xf>
    <xf numFmtId="0" fontId="0" fillId="0" borderId="10" xfId="0" applyBorder="1" applyAlignment="1">
      <alignment horizontal="center"/>
    </xf>
    <xf numFmtId="0" fontId="0" fillId="0" borderId="12" xfId="0" applyBorder="1" applyAlignment="1">
      <alignment horizontal="center"/>
    </xf>
    <xf numFmtId="0" fontId="0" fillId="3" borderId="2" xfId="0" applyFill="1" applyBorder="1" applyAlignment="1">
      <alignment horizontal="center"/>
    </xf>
    <xf numFmtId="0" fontId="0" fillId="3" borderId="13" xfId="0" applyFill="1" applyBorder="1" applyAlignment="1">
      <alignment horizontal="center"/>
    </xf>
    <xf numFmtId="0" fontId="0" fillId="3" borderId="3" xfId="0" applyFill="1" applyBorder="1" applyAlignment="1">
      <alignment horizontal="center"/>
    </xf>
    <xf numFmtId="0" fontId="0" fillId="7" borderId="2" xfId="0" applyFill="1" applyBorder="1" applyAlignment="1">
      <alignment horizontal="center"/>
    </xf>
    <xf numFmtId="0" fontId="0" fillId="7" borderId="13" xfId="0" applyFill="1" applyBorder="1" applyAlignment="1">
      <alignment horizontal="center"/>
    </xf>
    <xf numFmtId="0" fontId="0" fillId="7" borderId="3" xfId="0" applyFill="1" applyBorder="1" applyAlignment="1">
      <alignment horizontal="center"/>
    </xf>
    <xf numFmtId="0" fontId="0" fillId="2" borderId="2" xfId="0" applyFill="1" applyBorder="1" applyAlignment="1">
      <alignment horizontal="center"/>
    </xf>
    <xf numFmtId="0" fontId="0" fillId="2" borderId="13" xfId="0" applyFill="1" applyBorder="1" applyAlignment="1">
      <alignment horizontal="center"/>
    </xf>
    <xf numFmtId="0" fontId="0" fillId="2" borderId="3" xfId="0" applyFill="1" applyBorder="1" applyAlignment="1">
      <alignment horizontal="center"/>
    </xf>
    <xf numFmtId="0" fontId="0" fillId="4" borderId="2" xfId="0" applyFill="1" applyBorder="1" applyAlignment="1">
      <alignment horizontal="center"/>
    </xf>
    <xf numFmtId="0" fontId="0" fillId="4" borderId="13" xfId="0" applyFill="1" applyBorder="1" applyAlignment="1">
      <alignment horizontal="center"/>
    </xf>
    <xf numFmtId="0" fontId="0" fillId="4" borderId="3" xfId="0" applyFill="1" applyBorder="1" applyAlignment="1">
      <alignment horizontal="center"/>
    </xf>
    <xf numFmtId="0" fontId="0" fillId="6" borderId="2" xfId="0" applyFill="1" applyBorder="1" applyAlignment="1">
      <alignment horizontal="center"/>
    </xf>
    <xf numFmtId="0" fontId="0" fillId="6" borderId="13" xfId="0" applyFill="1" applyBorder="1" applyAlignment="1">
      <alignment horizontal="center"/>
    </xf>
    <xf numFmtId="0" fontId="0" fillId="6" borderId="3" xfId="0" applyFill="1" applyBorder="1" applyAlignment="1">
      <alignment horizontal="center"/>
    </xf>
    <xf numFmtId="0" fontId="0" fillId="6" borderId="8" xfId="0" applyFill="1" applyBorder="1" applyAlignment="1">
      <alignment horizontal="center"/>
    </xf>
    <xf numFmtId="0" fontId="0" fillId="3" borderId="8" xfId="0" applyFill="1" applyBorder="1" applyAlignment="1">
      <alignment horizontal="center"/>
    </xf>
    <xf numFmtId="0" fontId="0" fillId="7" borderId="8" xfId="0" applyFill="1" applyBorder="1" applyAlignment="1">
      <alignment horizontal="center"/>
    </xf>
    <xf numFmtId="0" fontId="0" fillId="2" borderId="11" xfId="0" applyFill="1" applyBorder="1" applyAlignment="1">
      <alignment horizontal="center"/>
    </xf>
    <xf numFmtId="0" fontId="0" fillId="2" borderId="8" xfId="0" applyFill="1" applyBorder="1" applyAlignment="1">
      <alignment horizontal="center"/>
    </xf>
    <xf numFmtId="0" fontId="0" fillId="4" borderId="8" xfId="0" applyFill="1" applyBorder="1" applyAlignment="1">
      <alignment horizontal="center"/>
    </xf>
    <xf numFmtId="0" fontId="0" fillId="8" borderId="5" xfId="0" applyFill="1" applyBorder="1" applyAlignment="1">
      <alignment horizontal="center"/>
    </xf>
    <xf numFmtId="0" fontId="0" fillId="8" borderId="6" xfId="0" applyFill="1" applyBorder="1" applyAlignment="1">
      <alignment horizontal="center"/>
    </xf>
    <xf numFmtId="0" fontId="0" fillId="8" borderId="4" xfId="0" applyFill="1" applyBorder="1" applyAlignment="1">
      <alignment horizontal="center"/>
    </xf>
    <xf numFmtId="0" fontId="0" fillId="8" borderId="9" xfId="0" applyFill="1" applyBorder="1" applyAlignment="1">
      <alignment horizontal="center"/>
    </xf>
    <xf numFmtId="0" fontId="0" fillId="0" borderId="8" xfId="0"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3" borderId="1" xfId="0" applyFill="1" applyBorder="1" applyAlignment="1">
      <alignment horizontal="center"/>
    </xf>
    <xf numFmtId="0" fontId="0" fillId="5" borderId="5" xfId="0" applyFill="1" applyBorder="1" applyAlignment="1">
      <alignment horizontal="center"/>
    </xf>
    <xf numFmtId="0" fontId="0" fillId="5" borderId="9" xfId="0" applyFill="1" applyBorder="1" applyAlignment="1">
      <alignment horizontal="center"/>
    </xf>
    <xf numFmtId="0" fontId="0" fillId="5" borderId="5" xfId="0" applyFill="1" applyBorder="1" applyAlignment="1" applyProtection="1">
      <alignment horizontal="center"/>
      <protection locked="0"/>
    </xf>
    <xf numFmtId="0" fontId="0" fillId="5" borderId="9" xfId="0" applyFill="1" applyBorder="1" applyAlignment="1" applyProtection="1">
      <alignment horizontal="center"/>
      <protection locked="0"/>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B10"/>
  <sheetViews>
    <sheetView workbookViewId="0">
      <selection activeCell="B4" sqref="B4"/>
    </sheetView>
  </sheetViews>
  <sheetFormatPr defaultColWidth="11.42578125" defaultRowHeight="15"/>
  <cols>
    <col min="1" max="1" width="19.42578125" customWidth="1"/>
    <col min="2" max="2" width="57.140625" customWidth="1"/>
  </cols>
  <sheetData>
    <row r="1" spans="1:2">
      <c r="B1" t="s">
        <v>0</v>
      </c>
    </row>
    <row r="2" spans="1:2">
      <c r="B2" t="s">
        <v>1</v>
      </c>
    </row>
    <row r="3" spans="1:2">
      <c r="A3" t="s">
        <v>2</v>
      </c>
      <c r="B3" t="s">
        <v>3</v>
      </c>
    </row>
    <row r="4" spans="1:2" ht="270">
      <c r="A4" s="2" t="s">
        <v>4</v>
      </c>
      <c r="B4" s="1" t="s">
        <v>5</v>
      </c>
    </row>
    <row r="5" spans="1:2" ht="210">
      <c r="A5" s="2" t="s">
        <v>6</v>
      </c>
      <c r="B5" s="1" t="s">
        <v>7</v>
      </c>
    </row>
    <row r="6" spans="1:2" ht="75">
      <c r="A6" s="2" t="s">
        <v>8</v>
      </c>
      <c r="B6" s="1" t="s">
        <v>9</v>
      </c>
    </row>
    <row r="7" spans="1:2">
      <c r="A7" s="2" t="s">
        <v>10</v>
      </c>
      <c r="B7" s="3">
        <v>200</v>
      </c>
    </row>
    <row r="8" spans="1:2">
      <c r="A8" s="2" t="s">
        <v>11</v>
      </c>
      <c r="B8" s="3">
        <f>COUNT(Participantes!$A$2:$A$91) * B7</f>
        <v>1200</v>
      </c>
    </row>
    <row r="9" spans="1:2" ht="30">
      <c r="A9" s="2" t="s">
        <v>12</v>
      </c>
      <c r="B9" s="1" t="s">
        <v>13</v>
      </c>
    </row>
    <row r="10" spans="1:2">
      <c r="A10" s="2" t="s">
        <v>14</v>
      </c>
      <c r="B10" s="1"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autoPageBreaks="0"/>
  </sheetPr>
  <dimension ref="A1:E8"/>
  <sheetViews>
    <sheetView workbookViewId="0">
      <selection activeCell="B3" sqref="B3"/>
    </sheetView>
  </sheetViews>
  <sheetFormatPr defaultColWidth="11.42578125" defaultRowHeight="15"/>
  <cols>
    <col min="1" max="1" width="11.85546875" bestFit="1" customWidth="1"/>
    <col min="2" max="2" width="23.85546875" bestFit="1" customWidth="1"/>
    <col min="3" max="3" width="14.28515625" bestFit="1" customWidth="1"/>
  </cols>
  <sheetData>
    <row r="1" spans="1:5">
      <c r="A1" t="s">
        <v>16</v>
      </c>
      <c r="B1" t="s">
        <v>17</v>
      </c>
      <c r="C1" t="s">
        <v>18</v>
      </c>
      <c r="D1" t="s">
        <v>19</v>
      </c>
    </row>
    <row r="2" spans="1:5">
      <c r="A2">
        <v>1</v>
      </c>
      <c r="B2" t="s">
        <v>20</v>
      </c>
      <c r="C2" t="s">
        <v>21</v>
      </c>
      <c r="D2" s="4" t="s">
        <v>22</v>
      </c>
      <c r="E2" s="35">
        <v>0</v>
      </c>
    </row>
    <row r="3" spans="1:5">
      <c r="A3">
        <v>2</v>
      </c>
      <c r="B3" t="s">
        <v>23</v>
      </c>
      <c r="C3" t="s">
        <v>21</v>
      </c>
      <c r="D3" s="4" t="s">
        <v>22</v>
      </c>
      <c r="E3" s="35">
        <v>0</v>
      </c>
    </row>
    <row r="4" spans="1:5">
      <c r="A4">
        <v>3</v>
      </c>
      <c r="B4" t="s">
        <v>24</v>
      </c>
      <c r="C4" t="s">
        <v>25</v>
      </c>
      <c r="D4" s="4" t="s">
        <v>22</v>
      </c>
      <c r="E4" s="35">
        <v>0</v>
      </c>
    </row>
    <row r="5" spans="1:5">
      <c r="A5">
        <v>4</v>
      </c>
      <c r="B5" t="s">
        <v>26</v>
      </c>
      <c r="C5" t="s">
        <v>27</v>
      </c>
      <c r="D5" s="4" t="s">
        <v>22</v>
      </c>
      <c r="E5" s="35">
        <v>0</v>
      </c>
    </row>
    <row r="6" spans="1:5">
      <c r="A6">
        <v>5</v>
      </c>
      <c r="B6" t="s">
        <v>28</v>
      </c>
      <c r="C6" t="s">
        <v>29</v>
      </c>
      <c r="D6" s="4" t="s">
        <v>22</v>
      </c>
      <c r="E6" s="35">
        <v>0</v>
      </c>
    </row>
    <row r="7" spans="1:5">
      <c r="A7">
        <v>6</v>
      </c>
      <c r="B7" t="s">
        <v>30</v>
      </c>
      <c r="C7" t="s">
        <v>25</v>
      </c>
      <c r="D7" s="4" t="s">
        <v>22</v>
      </c>
      <c r="E7" s="35">
        <v>0</v>
      </c>
    </row>
    <row r="8" spans="1:5">
      <c r="E8" s="35">
        <f>SUM(E2:E7)</f>
        <v>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L8"/>
  <sheetViews>
    <sheetView topLeftCell="B1" zoomScale="160" zoomScaleNormal="160" zoomScalePageLayoutView="160" workbookViewId="0">
      <selection activeCell="E6" sqref="E6"/>
    </sheetView>
  </sheetViews>
  <sheetFormatPr defaultColWidth="11.42578125" defaultRowHeight="15"/>
  <cols>
    <col min="1" max="1" width="6.42578125" customWidth="1"/>
    <col min="2" max="2" width="23.85546875" bestFit="1" customWidth="1"/>
    <col min="3" max="3" width="22.85546875" bestFit="1" customWidth="1"/>
    <col min="4" max="4" width="0.28515625" customWidth="1"/>
    <col min="5" max="7" width="12.85546875" bestFit="1" customWidth="1"/>
    <col min="8" max="8" width="11.85546875" bestFit="1" customWidth="1"/>
  </cols>
  <sheetData>
    <row r="1" spans="1:12">
      <c r="B1" t="s">
        <v>31</v>
      </c>
    </row>
    <row r="2" spans="1:12">
      <c r="C2" s="45"/>
      <c r="D2" s="45"/>
      <c r="E2" s="45"/>
      <c r="F2" s="45"/>
      <c r="G2" s="45"/>
      <c r="H2" s="45"/>
    </row>
    <row r="3" spans="1:12">
      <c r="A3" t="s">
        <v>16</v>
      </c>
      <c r="B3" t="s">
        <v>32</v>
      </c>
      <c r="C3" t="s">
        <v>33</v>
      </c>
      <c r="E3" t="s">
        <v>18</v>
      </c>
      <c r="K3" s="45" t="s">
        <v>34</v>
      </c>
      <c r="L3" s="45"/>
    </row>
    <row r="4" spans="1:12">
      <c r="A4">
        <v>5</v>
      </c>
      <c r="B4" t="str">
        <f>VLOOKUP($A4,[0]!participantes,2)</f>
        <v>Roberto Ruíz</v>
      </c>
      <c r="C4">
        <f>SUM('Jornada 1 - Partidos'!S18, 'Jornada 2 - Partidos'!S18, 'Jornada 3 - Partidos'!S18,'Octavos - Partidos'!S14,'Finales - Partidos'!S13)</f>
        <v>36</v>
      </c>
      <c r="E4">
        <v>1</v>
      </c>
      <c r="K4" t="s">
        <v>35</v>
      </c>
      <c r="L4">
        <v>1</v>
      </c>
    </row>
    <row r="5" spans="1:12">
      <c r="A5">
        <v>4</v>
      </c>
      <c r="B5" t="str">
        <f>VLOOKUP($A5,[0]!participantes,2)</f>
        <v>Kevin Salomón</v>
      </c>
      <c r="C5">
        <f>SUM('Jornada 1 - Partidos'!P18, 'Jornada 2 - Partidos'!P18, 'Jornada 3 - Partidos'!P18,'Octavos - Partidos'!P14,'Finales - Partidos'!P13)</f>
        <v>35</v>
      </c>
      <c r="E5">
        <v>2</v>
      </c>
      <c r="K5" t="s">
        <v>36</v>
      </c>
      <c r="L5">
        <v>1</v>
      </c>
    </row>
    <row r="6" spans="1:12">
      <c r="A6">
        <v>1</v>
      </c>
      <c r="B6" t="str">
        <f>VLOOKUP($A6,[0]!participantes,2)</f>
        <v>Carlos Ruíz</v>
      </c>
      <c r="C6">
        <f>SUM('Jornada 1 - Partidos'!G$18, 'Jornada 2 - Partidos'!G$18, 'Jornada 3 - Partidos'!G$18,'Octavos - Partidos'!G14,'Finales - Partidos'!G13)</f>
        <v>33</v>
      </c>
      <c r="E6">
        <v>3</v>
      </c>
      <c r="K6" t="s">
        <v>37</v>
      </c>
      <c r="L6">
        <v>3</v>
      </c>
    </row>
    <row r="7" spans="1:12">
      <c r="A7">
        <v>2</v>
      </c>
      <c r="B7" t="str">
        <f>VLOOKUP($A7,[0]!participantes,2)</f>
        <v>Javier Ruíz</v>
      </c>
      <c r="C7">
        <f>SUM('Jornada 1 - Partidos'!J18, 'Jornada 2 - Partidos'!J18, 'Jornada 3 - Partidos'!J18,'Octavos - Partidos'!J14,'Finales - Partidos'!J13)</f>
        <v>31</v>
      </c>
      <c r="E7">
        <v>4</v>
      </c>
    </row>
    <row r="8" spans="1:12">
      <c r="A8">
        <v>3</v>
      </c>
      <c r="B8" t="str">
        <f>VLOOKUP($A8,[0]!participantes,2)</f>
        <v>Jair Salomón</v>
      </c>
      <c r="C8">
        <f>SUM('Jornada 1 - Partidos'!M18, 'Jornada 2 - Partidos'!M18, 'Jornada 3 - Partidos'!M18,'Octavos - Partidos'!M14,'Finales - Partidos'!M13)</f>
        <v>29</v>
      </c>
      <c r="E8">
        <v>5</v>
      </c>
    </row>
  </sheetData>
  <sortState xmlns:xlrd2="http://schemas.microsoft.com/office/spreadsheetml/2017/richdata2" ref="A4:C8">
    <sortCondition descending="1" ref="C4"/>
  </sortState>
  <mergeCells count="2">
    <mergeCell ref="C2:H2"/>
    <mergeCell ref="K3:L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autoPageBreaks="0"/>
  </sheetPr>
  <dimension ref="A1:S18"/>
  <sheetViews>
    <sheetView workbookViewId="0">
      <pane xSplit="4" topLeftCell="E1" activePane="topRight" state="frozen"/>
      <selection pane="topRight" activeCell="B15" sqref="B15"/>
    </sheetView>
  </sheetViews>
  <sheetFormatPr defaultColWidth="11.42578125" defaultRowHeight="15"/>
  <cols>
    <col min="1" max="1" width="19.42578125" customWidth="1"/>
    <col min="2" max="2" width="18.140625" bestFit="1" customWidth="1"/>
    <col min="5" max="20" width="11.42578125" customWidth="1"/>
  </cols>
  <sheetData>
    <row r="1" spans="1:19">
      <c r="A1" s="34" t="s">
        <v>38</v>
      </c>
      <c r="B1" s="5"/>
      <c r="C1" s="5"/>
      <c r="D1" s="5"/>
      <c r="E1" s="10"/>
      <c r="F1" s="10"/>
      <c r="G1" s="10"/>
      <c r="H1" s="10"/>
      <c r="I1" s="10"/>
      <c r="J1" s="10"/>
      <c r="K1" s="5"/>
      <c r="L1" s="5"/>
      <c r="M1" s="5"/>
      <c r="N1" s="5"/>
      <c r="O1" s="5"/>
      <c r="P1" s="5"/>
      <c r="Q1" s="5"/>
      <c r="R1" s="5"/>
      <c r="S1" s="5"/>
    </row>
    <row r="2" spans="1:19">
      <c r="A2" s="5"/>
      <c r="B2" s="5" t="s">
        <v>39</v>
      </c>
      <c r="C2" s="5"/>
      <c r="D2" s="16"/>
      <c r="E2" s="48">
        <v>1</v>
      </c>
      <c r="F2" s="49"/>
      <c r="G2" s="50"/>
      <c r="H2" s="51">
        <v>2</v>
      </c>
      <c r="I2" s="52"/>
      <c r="J2" s="53"/>
      <c r="K2" s="54">
        <v>3</v>
      </c>
      <c r="L2" s="55"/>
      <c r="M2" s="56"/>
      <c r="N2" s="57">
        <v>4</v>
      </c>
      <c r="O2" s="58"/>
      <c r="P2" s="59"/>
      <c r="Q2" s="60">
        <v>5</v>
      </c>
      <c r="R2" s="61"/>
      <c r="S2" s="62"/>
    </row>
    <row r="3" spans="1:19">
      <c r="A3" s="5"/>
      <c r="B3" s="5" t="s">
        <v>40</v>
      </c>
      <c r="C3" s="74" t="s">
        <v>41</v>
      </c>
      <c r="D3" s="75"/>
      <c r="E3" s="76" t="str">
        <f>VLOOKUP(E$2,[0]!participantes,2)</f>
        <v>Carlos Ruíz</v>
      </c>
      <c r="F3" s="76"/>
      <c r="G3" s="39" t="s">
        <v>34</v>
      </c>
      <c r="H3" s="51" t="str">
        <f>VLOOKUP(H$2,[0]!participantes,2)</f>
        <v>Javier Ruíz</v>
      </c>
      <c r="I3" s="52"/>
      <c r="J3" s="30" t="s">
        <v>34</v>
      </c>
      <c r="K3" s="54" t="str">
        <f>VLOOKUP(K$2,[0]!participantes,2)</f>
        <v>Jair Salomón</v>
      </c>
      <c r="L3" s="55"/>
      <c r="M3" s="31" t="s">
        <v>34</v>
      </c>
      <c r="N3" s="57" t="str">
        <f>VLOOKUP(N$2,[0]!participantes,2)</f>
        <v>Kevin Salomón</v>
      </c>
      <c r="O3" s="58"/>
      <c r="P3" s="32" t="s">
        <v>34</v>
      </c>
      <c r="Q3" s="60" t="str">
        <f>VLOOKUP(Q$2,[0]!participantes,2)</f>
        <v>Roberto Ruíz</v>
      </c>
      <c r="R3" s="61"/>
      <c r="S3" s="33" t="s">
        <v>34</v>
      </c>
    </row>
    <row r="4" spans="1:19" ht="15.75" thickBot="1">
      <c r="A4" s="10"/>
      <c r="B4" s="10" t="s">
        <v>42</v>
      </c>
      <c r="C4" s="77">
        <f>SUM(C6:D17)</f>
        <v>22</v>
      </c>
      <c r="D4" s="78"/>
      <c r="E4" s="69">
        <f>SUM(E6:F17)</f>
        <v>26</v>
      </c>
      <c r="F4" s="70"/>
      <c r="G4" s="18">
        <f>IF(E4=$C$4,'Tabla general'!$L$6,0)</f>
        <v>0</v>
      </c>
      <c r="H4" s="71">
        <f>SUM(H6:I17)</f>
        <v>24</v>
      </c>
      <c r="I4" s="71"/>
      <c r="J4" s="25">
        <f>IF(H4=$C$4,'Tabla general'!$L$6,0)</f>
        <v>0</v>
      </c>
      <c r="K4" s="72">
        <f>SUM(K6:L17)</f>
        <v>31</v>
      </c>
      <c r="L4" s="70"/>
      <c r="M4" s="19">
        <f>IF(K4=$C$4,'Tabla general'!$L$6,0)</f>
        <v>0</v>
      </c>
      <c r="N4" s="69">
        <f>SUM(N6:O17)</f>
        <v>31</v>
      </c>
      <c r="O4" s="70"/>
      <c r="P4" s="20">
        <f>IF(N4=$C$4,'Tabla general'!$L$6,0)</f>
        <v>0</v>
      </c>
      <c r="Q4" s="69">
        <f>SUM(Q6:R17)</f>
        <v>27</v>
      </c>
      <c r="R4" s="70"/>
      <c r="S4" s="21">
        <f>IF(Q4=$C$4,'Tabla general'!$L$6,0)</f>
        <v>0</v>
      </c>
    </row>
    <row r="5" spans="1:19" s="23" customFormat="1" ht="15.75" thickBot="1">
      <c r="A5" s="73" t="s">
        <v>43</v>
      </c>
      <c r="B5" s="73"/>
      <c r="C5" s="74" t="s">
        <v>44</v>
      </c>
      <c r="D5" s="75"/>
      <c r="E5" s="64" t="s">
        <v>45</v>
      </c>
      <c r="F5" s="64"/>
      <c r="G5" s="41" t="s">
        <v>34</v>
      </c>
      <c r="H5" s="65" t="s">
        <v>45</v>
      </c>
      <c r="I5" s="65"/>
      <c r="J5" s="42" t="s">
        <v>34</v>
      </c>
      <c r="K5" s="66" t="s">
        <v>45</v>
      </c>
      <c r="L5" s="67"/>
      <c r="M5" s="43" t="s">
        <v>34</v>
      </c>
      <c r="N5" s="68" t="s">
        <v>45</v>
      </c>
      <c r="O5" s="68"/>
      <c r="P5" s="44" t="s">
        <v>34</v>
      </c>
      <c r="Q5" s="63" t="s">
        <v>45</v>
      </c>
      <c r="R5" s="63"/>
      <c r="S5" s="40" t="s">
        <v>34</v>
      </c>
    </row>
    <row r="6" spans="1:19">
      <c r="A6" s="11" t="s">
        <v>46</v>
      </c>
      <c r="B6" s="11" t="s">
        <v>47</v>
      </c>
      <c r="C6" s="36">
        <v>2</v>
      </c>
      <c r="D6" s="37">
        <v>1</v>
      </c>
      <c r="E6" s="26">
        <v>2</v>
      </c>
      <c r="F6" s="26">
        <v>0</v>
      </c>
      <c r="G6" s="22">
        <f>IF(AND($C6="",$D6=""),0,IF(AND($C6&gt;$D6,E6&gt;F6),'Tabla general'!$L$4,IF(AND($D6&gt;$C6,F6&gt;E6),'Tabla general'!$L$4,IF(AND($C6=$D6,E6=F6),'Tabla general'!$L$4,0))) + IF(AND($C6=E6,$D6=F6),'Tabla general'!$L$5,0))</f>
        <v>1</v>
      </c>
      <c r="H6" s="26">
        <v>2</v>
      </c>
      <c r="I6" s="26">
        <v>0</v>
      </c>
      <c r="J6" s="12">
        <f>IF(AND($C6="",$D6=""),0,IF(AND($C6&gt;$D6,H6&gt;I6),'Tabla general'!$L$4,IF(AND($D6&gt;$C6,I6&gt;H6),'Tabla general'!$L$4,IF(AND($C6=$D6,H6=I6),'Tabla general'!$L$4,0))) + IF(AND($C6=H6,$D6=I6),'Tabla general'!$L$5,0))</f>
        <v>1</v>
      </c>
      <c r="K6" s="28">
        <v>3</v>
      </c>
      <c r="L6" s="26">
        <v>0</v>
      </c>
      <c r="M6" s="13">
        <f>IF(AND($C6="",$D6=""),0,IF(AND($C6&gt;$D6,K6&gt;L6),'Tabla general'!$L$4,IF(AND($D6&gt;$C6,L6&gt;K6),'Tabla general'!$L$4,IF(AND($C6=$D6,K6=L6),'Tabla general'!$L$4,0))) + IF(AND($C6=K6,$D6=L6),'Tabla general'!$L$5,0))</f>
        <v>1</v>
      </c>
      <c r="N6" s="26">
        <v>2</v>
      </c>
      <c r="O6" s="26">
        <v>0</v>
      </c>
      <c r="P6" s="14">
        <f>IF(AND($C6="",$D6=""),0,IF(AND($C6&gt;$D6,N6&gt;O6),'Tabla general'!$L$4,IF(AND($D6&gt;$C6,O6&gt;N6),'Tabla general'!$L$4,IF(AND($C6=$D6,N6=O6),'Tabla general'!$L$4,0))) + IF(AND($C6=N6,$D6=O6),'Tabla general'!$L$5,0))</f>
        <v>1</v>
      </c>
      <c r="Q6" s="26">
        <v>2</v>
      </c>
      <c r="R6" s="26">
        <v>0</v>
      </c>
      <c r="S6" s="15">
        <f>IF(AND($C6="",$D6=""),0,IF(AND($C6&gt;$D6,Q6&gt;R6),'Tabla general'!$L$4,IF(AND($D6&gt;$C6,R6&gt;Q6),'Tabla general'!$L$4,IF(AND($C6=$D6,Q6=R6),'Tabla general'!$L$4,0))) + IF(AND($C6=Q6,$D6=R6),'Tabla general'!$L$5,0))</f>
        <v>1</v>
      </c>
    </row>
    <row r="7" spans="1:19">
      <c r="A7" s="5" t="s">
        <v>48</v>
      </c>
      <c r="B7" s="5" t="s">
        <v>49</v>
      </c>
      <c r="C7" s="36">
        <v>0</v>
      </c>
      <c r="D7" s="37">
        <v>1</v>
      </c>
      <c r="E7" s="27">
        <v>0</v>
      </c>
      <c r="F7" s="27">
        <v>1</v>
      </c>
      <c r="G7" s="22">
        <f>IF(AND($C7="",$D7=""),0,IF(AND($C7&gt;$D7,E7&gt;F7),'Tabla general'!$L$4,IF(AND($D7&gt;$C7,F7&gt;E7),'Tabla general'!$L$4,IF(AND($C7=$D7,E7=F7),'Tabla general'!$L$4,0))) + IF(AND($C7=E7,$D7=F7),'Tabla general'!$L$5,0))</f>
        <v>2</v>
      </c>
      <c r="H7" s="27">
        <v>0</v>
      </c>
      <c r="I7" s="27">
        <v>1</v>
      </c>
      <c r="J7" s="9">
        <f>IF(AND($C7="",$D7=""),0,IF(AND($C7&gt;$D7,H7&gt;I7),'Tabla general'!$L$4,IF(AND($D7&gt;$C7,I7&gt;H7),'Tabla general'!$L$4,IF(AND($C7=$D7,H7=I7),'Tabla general'!$L$4,0))) + IF(AND($C7=H7,$D7=I7),'Tabla general'!$L$5,0))</f>
        <v>2</v>
      </c>
      <c r="K7" s="29">
        <v>1</v>
      </c>
      <c r="L7" s="27">
        <v>2</v>
      </c>
      <c r="M7" s="7">
        <f>IF(AND($C7="",$D7=""),0,IF(AND($C7&gt;$D7,K7&gt;L7),'Tabla general'!$L$4,IF(AND($D7&gt;$C7,L7&gt;K7),'Tabla general'!$L$4,IF(AND($C7=$D7,K7=L7),'Tabla general'!$L$4,0))) + IF(AND($C7=K7,$D7=L7),'Tabla general'!$L$5,0))</f>
        <v>1</v>
      </c>
      <c r="N7" s="27">
        <v>0</v>
      </c>
      <c r="O7" s="27">
        <v>1</v>
      </c>
      <c r="P7" s="6">
        <f>IF(AND($C7="",$D7=""),0,IF(AND($C7&gt;$D7,N7&gt;O7),'Tabla general'!$L$4,IF(AND($D7&gt;$C7,O7&gt;N7),'Tabla general'!$L$4,IF(AND($C7=$D7,N7=O7),'Tabla general'!$L$4,0))) + IF(AND($C7=N7,$D7=O7),'Tabla general'!$L$5,0))</f>
        <v>2</v>
      </c>
      <c r="Q7" s="27">
        <v>0</v>
      </c>
      <c r="R7" s="27">
        <v>2</v>
      </c>
      <c r="S7" s="8">
        <f>IF(AND($C7="",$D7=""),0,IF(AND($C7&gt;$D7,Q7&gt;R7),'Tabla general'!$L$4,IF(AND($D7&gt;$C7,R7&gt;Q7),'Tabla general'!$L$4,IF(AND($C7=$D7,Q7=R7),'Tabla general'!$L$4,0))) + IF(AND($C7=Q7,$D7=R7),'Tabla general'!$L$5,0))</f>
        <v>1</v>
      </c>
    </row>
    <row r="8" spans="1:19">
      <c r="A8" s="5" t="s">
        <v>50</v>
      </c>
      <c r="B8" s="5" t="s">
        <v>51</v>
      </c>
      <c r="C8" s="36">
        <v>2</v>
      </c>
      <c r="D8" s="37">
        <v>1</v>
      </c>
      <c r="E8" s="27">
        <v>2</v>
      </c>
      <c r="F8" s="27">
        <v>1</v>
      </c>
      <c r="G8" s="22">
        <f>IF(AND($C8="",$D8=""),0,IF(AND($C8&gt;$D8,E8&gt;F8),'Tabla general'!$L$4,IF(AND($D8&gt;$C8,F8&gt;E8),'Tabla general'!$L$4,IF(AND($C8=$D8,E8=F8),'Tabla general'!$L$4,0))) + IF(AND($C8=E8,$D8=F8),'Tabla general'!$L$5,0))</f>
        <v>2</v>
      </c>
      <c r="H8" s="27">
        <v>1</v>
      </c>
      <c r="I8" s="27">
        <v>0</v>
      </c>
      <c r="J8" s="9">
        <f>IF(AND($C8="",$D8=""),0,IF(AND($C8&gt;$D8,H8&gt;I8),'Tabla general'!$L$4,IF(AND($D8&gt;$C8,I8&gt;H8),'Tabla general'!$L$4,IF(AND($C8=$D8,H8=I8),'Tabla general'!$L$4,0))) + IF(AND($C8=H8,$D8=I8),'Tabla general'!$L$5,0))</f>
        <v>1</v>
      </c>
      <c r="K8" s="29">
        <v>2</v>
      </c>
      <c r="L8" s="27">
        <v>0</v>
      </c>
      <c r="M8" s="7">
        <f>IF(AND($C8="",$D8=""),0,IF(AND($C8&gt;$D8,K8&gt;L8),'Tabla general'!$L$4,IF(AND($D8&gt;$C8,L8&gt;K8),'Tabla general'!$L$4,IF(AND($C8=$D8,K8=L8),'Tabla general'!$L$4,0))) + IF(AND($C8=K8,$D8=L8),'Tabla general'!$L$5,0))</f>
        <v>1</v>
      </c>
      <c r="N8" s="27">
        <v>1</v>
      </c>
      <c r="O8" s="27">
        <v>3</v>
      </c>
      <c r="P8" s="6">
        <f>IF(AND($C8="",$D8=""),0,IF(AND($C8&gt;$D8,N8&gt;O8),'Tabla general'!$L$4,IF(AND($D8&gt;$C8,O8&gt;N8),'Tabla general'!$L$4,IF(AND($C8=$D8,N8=O8),'Tabla general'!$L$4,0))) + IF(AND($C8=N8,$D8=O8),'Tabla general'!$L$5,0))</f>
        <v>0</v>
      </c>
      <c r="Q8" s="27">
        <v>1</v>
      </c>
      <c r="R8" s="27">
        <v>0</v>
      </c>
      <c r="S8" s="8">
        <f>IF(AND($C8="",$D8=""),0,IF(AND($C8&gt;$D8,Q8&gt;R8),'Tabla general'!$L$4,IF(AND($D8&gt;$C8,R8&gt;Q8),'Tabla general'!$L$4,IF(AND($C8=$D8,Q8=R8),'Tabla general'!$L$4,0))) + IF(AND($C8=Q8,$D8=R8),'Tabla general'!$L$5,0))</f>
        <v>1</v>
      </c>
    </row>
    <row r="9" spans="1:19">
      <c r="A9" s="5" t="s">
        <v>52</v>
      </c>
      <c r="B9" s="5" t="s">
        <v>53</v>
      </c>
      <c r="C9" s="36">
        <v>1</v>
      </c>
      <c r="D9" s="37">
        <v>1</v>
      </c>
      <c r="E9" s="27">
        <v>1</v>
      </c>
      <c r="F9" s="27">
        <v>1</v>
      </c>
      <c r="G9" s="22">
        <f>IF(AND($C9="",$D9=""),0,IF(AND($C9&gt;$D9,E9&gt;F9),'Tabla general'!$L$4,IF(AND($D9&gt;$C9,F9&gt;E9),'Tabla general'!$L$4,IF(AND($C9=$D9,E9=F9),'Tabla general'!$L$4,0))) + IF(AND($C9=E9,$D9=F9),'Tabla general'!$L$5,0))</f>
        <v>2</v>
      </c>
      <c r="H9" s="27">
        <v>2</v>
      </c>
      <c r="I9" s="27">
        <v>2</v>
      </c>
      <c r="J9" s="9">
        <f>IF(AND($C9="",$D9=""),0,IF(AND($C9&gt;$D9,H9&gt;I9),'Tabla general'!$L$4,IF(AND($D9&gt;$C9,I9&gt;H9),'Tabla general'!$L$4,IF(AND($C9=$D9,H9=I9),'Tabla general'!$L$4,0))) + IF(AND($C9=H9,$D9=I9),'Tabla general'!$L$5,0))</f>
        <v>1</v>
      </c>
      <c r="K9" s="29">
        <v>2</v>
      </c>
      <c r="L9" s="27">
        <v>0</v>
      </c>
      <c r="M9" s="7">
        <f>IF(AND($C9="",$D9=""),0,IF(AND($C9&gt;$D9,K9&gt;L9),'Tabla general'!$L$4,IF(AND($D9&gt;$C9,L9&gt;K9),'Tabla general'!$L$4,IF(AND($C9=$D9,K9=L9),'Tabla general'!$L$4,0))) + IF(AND($C9=K9,$D9=L9),'Tabla general'!$L$5,0))</f>
        <v>0</v>
      </c>
      <c r="N9" s="27">
        <v>2</v>
      </c>
      <c r="O9" s="27">
        <v>1</v>
      </c>
      <c r="P9" s="6">
        <f>IF(AND($C9="",$D9=""),0,IF(AND($C9&gt;$D9,N9&gt;O9),'Tabla general'!$L$4,IF(AND($D9&gt;$C9,O9&gt;N9),'Tabla general'!$L$4,IF(AND($C9=$D9,N9=O9),'Tabla general'!$L$4,0))) + IF(AND($C9=N9,$D9=O9),'Tabla general'!$L$5,0))</f>
        <v>0</v>
      </c>
      <c r="Q9" s="27">
        <v>2</v>
      </c>
      <c r="R9" s="27">
        <v>1</v>
      </c>
      <c r="S9" s="8">
        <f>IF(AND($C9="",$D9=""),0,IF(AND($C9&gt;$D9,Q9&gt;R9),'Tabla general'!$L$4,IF(AND($D9&gt;$C9,R9&gt;Q9),'Tabla general'!$L$4,IF(AND($C9=$D9,Q9=R9),'Tabla general'!$L$4,0))) + IF(AND($C9=Q9,$D9=R9),'Tabla general'!$L$5,0))</f>
        <v>0</v>
      </c>
    </row>
    <row r="10" spans="1:19">
      <c r="A10" s="5" t="s">
        <v>54</v>
      </c>
      <c r="B10" s="5" t="s">
        <v>55</v>
      </c>
      <c r="C10" s="36">
        <v>0</v>
      </c>
      <c r="D10" s="37">
        <v>1</v>
      </c>
      <c r="E10" s="27">
        <v>1</v>
      </c>
      <c r="F10" s="27">
        <v>2</v>
      </c>
      <c r="G10" s="22">
        <f>IF(AND($C10="",$D10=""),0,IF(AND($C10&gt;$D10,E10&gt;F10),'Tabla general'!$L$4,IF(AND($D10&gt;$C10,F10&gt;E10),'Tabla general'!$L$4,IF(AND($C10=$D10,E10=F10),'Tabla general'!$L$4,0))) + IF(AND($C10=E10,$D10=F10),'Tabla general'!$L$5,0))</f>
        <v>1</v>
      </c>
      <c r="H10" s="27">
        <v>1</v>
      </c>
      <c r="I10" s="27">
        <v>2</v>
      </c>
      <c r="J10" s="9">
        <f>IF(AND($C10="",$D10=""),0,IF(AND($C10&gt;$D10,H10&gt;I10),'Tabla general'!$L$4,IF(AND($D10&gt;$C10,I10&gt;H10),'Tabla general'!$L$4,IF(AND($C10=$D10,H10=I10),'Tabla general'!$L$4,0))) + IF(AND($C10=H10,$D10=I10),'Tabla general'!$L$5,0))</f>
        <v>1</v>
      </c>
      <c r="K10" s="29">
        <v>2</v>
      </c>
      <c r="L10" s="27">
        <v>1</v>
      </c>
      <c r="M10" s="7">
        <f>IF(AND($C10="",$D10=""),0,IF(AND($C10&gt;$D10,K10&gt;L10),'Tabla general'!$L$4,IF(AND($D10&gt;$C10,L10&gt;K10),'Tabla general'!$L$4,IF(AND($C10=$D10,K10=L10),'Tabla general'!$L$4,0))) + IF(AND($C10=K10,$D10=L10),'Tabla general'!$L$5,0))</f>
        <v>0</v>
      </c>
      <c r="N10" s="27">
        <v>2</v>
      </c>
      <c r="O10" s="27">
        <v>2</v>
      </c>
      <c r="P10" s="6">
        <f>IF(AND($C10="",$D10=""),0,IF(AND($C10&gt;$D10,N10&gt;O10),'Tabla general'!$L$4,IF(AND($D10&gt;$C10,O10&gt;N10),'Tabla general'!$L$4,IF(AND($C10=$D10,N10=O10),'Tabla general'!$L$4,0))) + IF(AND($C10=N10,$D10=O10),'Tabla general'!$L$5,0))</f>
        <v>0</v>
      </c>
      <c r="Q10" s="27">
        <v>1</v>
      </c>
      <c r="R10" s="27">
        <v>2</v>
      </c>
      <c r="S10" s="8">
        <f>IF(AND($C10="",$D10=""),0,IF(AND($C10&gt;$D10,Q10&gt;R10),'Tabla general'!$L$4,IF(AND($D10&gt;$C10,R10&gt;Q10),'Tabla general'!$L$4,IF(AND($C10=$D10,Q10=R10),'Tabla general'!$L$4,0))) + IF(AND($C10=Q10,$D10=R10),'Tabla general'!$L$5,0))</f>
        <v>1</v>
      </c>
    </row>
    <row r="11" spans="1:19">
      <c r="A11" s="5" t="s">
        <v>56</v>
      </c>
      <c r="B11" s="5" t="s">
        <v>57</v>
      </c>
      <c r="C11" s="36">
        <v>1</v>
      </c>
      <c r="D11" s="37">
        <v>0</v>
      </c>
      <c r="E11" s="27">
        <v>3</v>
      </c>
      <c r="F11" s="27">
        <v>1</v>
      </c>
      <c r="G11" s="22">
        <f>IF(AND($C11="",$D11=""),0,IF(AND($C11&gt;$D11,E11&gt;F11),'Tabla general'!$L$4,IF(AND($D11&gt;$C11,F11&gt;E11),'Tabla general'!$L$4,IF(AND($C11=$D11,E11=F11),'Tabla general'!$L$4,0))) + IF(AND($C11=E11,$D11=F11),'Tabla general'!$L$5,0))</f>
        <v>1</v>
      </c>
      <c r="H11" s="27">
        <v>0</v>
      </c>
      <c r="I11" s="27">
        <v>0</v>
      </c>
      <c r="J11" s="9">
        <f>IF(AND($C11="",$D11=""),0,IF(AND($C11&gt;$D11,H11&gt;I11),'Tabla general'!$L$4,IF(AND($D11&gt;$C11,I11&gt;H11),'Tabla general'!$L$4,IF(AND($C11=$D11,H11=I11),'Tabla general'!$L$4,0))) + IF(AND($C11=H11,$D11=I11),'Tabla general'!$L$5,0))</f>
        <v>0</v>
      </c>
      <c r="K11" s="29">
        <v>1</v>
      </c>
      <c r="L11" s="27">
        <v>1</v>
      </c>
      <c r="M11" s="7">
        <f>IF(AND($C11="",$D11=""),0,IF(AND($C11&gt;$D11,K11&gt;L11),'Tabla general'!$L$4,IF(AND($D11&gt;$C11,L11&gt;K11),'Tabla general'!$L$4,IF(AND($C11=$D11,K11=L11),'Tabla general'!$L$4,0))) + IF(AND($C11=K11,$D11=L11),'Tabla general'!$L$5,0))</f>
        <v>0</v>
      </c>
      <c r="N11" s="27">
        <v>0</v>
      </c>
      <c r="O11" s="27">
        <v>0</v>
      </c>
      <c r="P11" s="6">
        <f>IF(AND($C11="",$D11=""),0,IF(AND($C11&gt;$D11,N11&gt;O11),'Tabla general'!$L$4,IF(AND($D11&gt;$C11,O11&gt;N11),'Tabla general'!$L$4,IF(AND($C11=$D11,N11=O11),'Tabla general'!$L$4,0))) + IF(AND($C11=N11,$D11=O11),'Tabla general'!$L$5,0))</f>
        <v>0</v>
      </c>
      <c r="Q11" s="27">
        <v>1</v>
      </c>
      <c r="R11" s="27">
        <v>1</v>
      </c>
      <c r="S11" s="8">
        <f>IF(AND($C11="",$D11=""),0,IF(AND($C11&gt;$D11,Q11&gt;R11),'Tabla general'!$L$4,IF(AND($D11&gt;$C11,R11&gt;Q11),'Tabla general'!$L$4,IF(AND($C11=$D11,Q11=R11),'Tabla general'!$L$4,0))) + IF(AND($C11=Q11,$D11=R11),'Tabla general'!$L$5,0))</f>
        <v>0</v>
      </c>
    </row>
    <row r="12" spans="1:19">
      <c r="A12" s="5" t="s">
        <v>58</v>
      </c>
      <c r="B12" s="5" t="s">
        <v>59</v>
      </c>
      <c r="C12" s="36">
        <v>2</v>
      </c>
      <c r="D12" s="37">
        <v>0</v>
      </c>
      <c r="E12" s="27">
        <v>3</v>
      </c>
      <c r="F12" s="27">
        <v>0</v>
      </c>
      <c r="G12" s="22">
        <f>IF(AND($C12="",$D12=""),0,IF(AND($C12&gt;$D12,E12&gt;F12),'Tabla general'!$L$4,IF(AND($D12&gt;$C12,F12&gt;E12),'Tabla general'!$L$4,IF(AND($C12=$D12,E12=F12),'Tabla general'!$L$4,0))) + IF(AND($C12=E12,$D12=F12),'Tabla general'!$L$5,0))</f>
        <v>1</v>
      </c>
      <c r="H12" s="27">
        <v>3</v>
      </c>
      <c r="I12" s="27">
        <v>0</v>
      </c>
      <c r="J12" s="9">
        <f>IF(AND($C12="",$D12=""),0,IF(AND($C12&gt;$D12,H12&gt;I12),'Tabla general'!$L$4,IF(AND($D12&gt;$C12,I12&gt;H12),'Tabla general'!$L$4,IF(AND($C12=$D12,H12=I12),'Tabla general'!$L$4,0))) + IF(AND($C12=H12,$D12=I12),'Tabla general'!$L$5,0))</f>
        <v>1</v>
      </c>
      <c r="K12" s="29">
        <v>3</v>
      </c>
      <c r="L12" s="27">
        <v>0</v>
      </c>
      <c r="M12" s="7">
        <f>IF(AND($C12="",$D12=""),0,IF(AND($C12&gt;$D12,K12&gt;L12),'Tabla general'!$L$4,IF(AND($D12&gt;$C12,L12&gt;K12),'Tabla general'!$L$4,IF(AND($C12=$D12,K12=L12),'Tabla general'!$L$4,0))) + IF(AND($C12=K12,$D12=L12),'Tabla general'!$L$5,0))</f>
        <v>1</v>
      </c>
      <c r="N12" s="27">
        <v>3</v>
      </c>
      <c r="O12" s="27">
        <v>2</v>
      </c>
      <c r="P12" s="6">
        <f>IF(AND($C12="",$D12=""),0,IF(AND($C12&gt;$D12,N12&gt;O12),'Tabla general'!$L$4,IF(AND($D12&gt;$C12,O12&gt;N12),'Tabla general'!$L$4,IF(AND($C12=$D12,N12=O12),'Tabla general'!$L$4,0))) + IF(AND($C12=N12,$D12=O12),'Tabla general'!$L$5,0))</f>
        <v>1</v>
      </c>
      <c r="Q12" s="27">
        <v>2</v>
      </c>
      <c r="R12" s="27">
        <v>0</v>
      </c>
      <c r="S12" s="8">
        <f>IF(AND($C12="",$D12=""),0,IF(AND($C12&gt;$D12,Q12&gt;R12),'Tabla general'!$L$4,IF(AND($D12&gt;$C12,R12&gt;Q12),'Tabla general'!$L$4,IF(AND($C12=$D12,Q12=R12),'Tabla general'!$L$4,0))) + IF(AND($C12=Q12,$D12=R12),'Tabla general'!$L$5,0))</f>
        <v>2</v>
      </c>
    </row>
    <row r="13" spans="1:19">
      <c r="A13" s="5" t="s">
        <v>60</v>
      </c>
      <c r="B13" s="5" t="s">
        <v>61</v>
      </c>
      <c r="C13" s="36">
        <v>1</v>
      </c>
      <c r="D13" s="37">
        <v>0</v>
      </c>
      <c r="E13" s="27">
        <v>2</v>
      </c>
      <c r="F13" s="27">
        <v>1</v>
      </c>
      <c r="G13" s="22">
        <f>IF(AND($C13="",$D13=""),0,IF(AND($C13&gt;$D13,E13&gt;F13),'Tabla general'!$L$4,IF(AND($D13&gt;$C13,F13&gt;E13),'Tabla general'!$L$4,IF(AND($C13=$D13,E13=F13),'Tabla general'!$L$4,0))) + IF(AND($C13=E13,$D13=F13),'Tabla general'!$L$5,0))</f>
        <v>1</v>
      </c>
      <c r="H13" s="27">
        <v>2</v>
      </c>
      <c r="I13" s="27">
        <v>0</v>
      </c>
      <c r="J13" s="9">
        <f>IF(AND($C13="",$D13=""),0,IF(AND($C13&gt;$D13,H13&gt;I13),'Tabla general'!$L$4,IF(AND($D13&gt;$C13,I13&gt;H13),'Tabla general'!$L$4,IF(AND($C13=$D13,H13=I13),'Tabla general'!$L$4,0))) + IF(AND($C13=H13,$D13=I13),'Tabla general'!$L$5,0))</f>
        <v>1</v>
      </c>
      <c r="K13" s="29">
        <v>3</v>
      </c>
      <c r="L13" s="27">
        <v>1</v>
      </c>
      <c r="M13" s="7">
        <f>IF(AND($C13="",$D13=""),0,IF(AND($C13&gt;$D13,K13&gt;L13),'Tabla general'!$L$4,IF(AND($D13&gt;$C13,L13&gt;K13),'Tabla general'!$L$4,IF(AND($C13=$D13,K13=L13),'Tabla general'!$L$4,0))) + IF(AND($C13=K13,$D13=L13),'Tabla general'!$L$5,0))</f>
        <v>1</v>
      </c>
      <c r="N13" s="27">
        <v>1</v>
      </c>
      <c r="O13" s="27">
        <v>1</v>
      </c>
      <c r="P13" s="6">
        <f>IF(AND($C13="",$D13=""),0,IF(AND($C13&gt;$D13,N13&gt;O13),'Tabla general'!$L$4,IF(AND($D13&gt;$C13,O13&gt;N13),'Tabla general'!$L$4,IF(AND($C13=$D13,N13=O13),'Tabla general'!$L$4,0))) + IF(AND($C13=N13,$D13=O13),'Tabla general'!$L$5,0))</f>
        <v>0</v>
      </c>
      <c r="Q13" s="27">
        <v>2</v>
      </c>
      <c r="R13" s="27">
        <v>1</v>
      </c>
      <c r="S13" s="8">
        <f>IF(AND($C13="",$D13=""),0,IF(AND($C13&gt;$D13,Q13&gt;R13),'Tabla general'!$L$4,IF(AND($D13&gt;$C13,R13&gt;Q13),'Tabla general'!$L$4,IF(AND($C13=$D13,Q13=R13),'Tabla general'!$L$4,0))) + IF(AND($C13=Q13,$D13=R13),'Tabla general'!$L$5,0))</f>
        <v>1</v>
      </c>
    </row>
    <row r="14" spans="1:19">
      <c r="A14" s="5" t="s">
        <v>62</v>
      </c>
      <c r="B14" s="5" t="s">
        <v>63</v>
      </c>
      <c r="C14" s="36">
        <v>1</v>
      </c>
      <c r="D14" s="37">
        <v>1</v>
      </c>
      <c r="E14" s="27">
        <v>0</v>
      </c>
      <c r="F14" s="27">
        <v>1</v>
      </c>
      <c r="G14" s="22">
        <f>IF(AND($C14="",$D14=""),0,IF(AND($C14&gt;$D14,E14&gt;F14),'Tabla general'!$L$4,IF(AND($D14&gt;$C14,F14&gt;E14),'Tabla general'!$L$4,IF(AND($C14=$D14,E14=F14),'Tabla general'!$L$4,0))) + IF(AND($C14=E14,$D14=F14),'Tabla general'!$L$5,0))</f>
        <v>0</v>
      </c>
      <c r="H14" s="27">
        <v>0</v>
      </c>
      <c r="I14" s="27">
        <v>2</v>
      </c>
      <c r="J14" s="9">
        <f>IF(AND($C14="",$D14=""),0,IF(AND($C14&gt;$D14,H14&gt;I14),'Tabla general'!$L$4,IF(AND($D14&gt;$C14,I14&gt;H14),'Tabla general'!$L$4,IF(AND($C14=$D14,H14=I14),'Tabla general'!$L$4,0))) + IF(AND($C14=H14,$D14=I14),'Tabla general'!$L$5,0))</f>
        <v>0</v>
      </c>
      <c r="K14" s="29">
        <v>0</v>
      </c>
      <c r="L14" s="27">
        <v>2</v>
      </c>
      <c r="M14" s="7">
        <f>IF(AND($C14="",$D14=""),0,IF(AND($C14&gt;$D14,K14&gt;L14),'Tabla general'!$L$4,IF(AND($D14&gt;$C14,L14&gt;K14),'Tabla general'!$L$4,IF(AND($C14=$D14,K14=L14),'Tabla general'!$L$4,0))) + IF(AND($C14=K14,$D14=L14),'Tabla general'!$L$5,0))</f>
        <v>0</v>
      </c>
      <c r="N14" s="27">
        <v>0</v>
      </c>
      <c r="O14" s="27">
        <v>1</v>
      </c>
      <c r="P14" s="6">
        <f>IF(AND($C14="",$D14=""),0,IF(AND($C14&gt;$D14,N14&gt;O14),'Tabla general'!$L$4,IF(AND($D14&gt;$C14,O14&gt;N14),'Tabla general'!$L$4,IF(AND($C14=$D14,N14=O14),'Tabla general'!$L$4,0))) + IF(AND($C14=N14,$D14=O14),'Tabla general'!$L$5,0))</f>
        <v>0</v>
      </c>
      <c r="Q14" s="27">
        <v>1</v>
      </c>
      <c r="R14" s="27">
        <v>1</v>
      </c>
      <c r="S14" s="8">
        <f>IF(AND($C14="",$D14=""),0,IF(AND($C14&gt;$D14,Q14&gt;R14),'Tabla general'!$L$4,IF(AND($D14&gt;$C14,R14&gt;Q14),'Tabla general'!$L$4,IF(AND($C14=$D14,Q14=R14),'Tabla general'!$L$4,0))) + IF(AND($C14=Q14,$D14=R14),'Tabla general'!$L$5,0))</f>
        <v>2</v>
      </c>
    </row>
    <row r="15" spans="1:19">
      <c r="A15" s="5" t="s">
        <v>64</v>
      </c>
      <c r="B15" s="5" t="s">
        <v>65</v>
      </c>
      <c r="C15" s="36">
        <v>0</v>
      </c>
      <c r="D15" s="37">
        <v>2</v>
      </c>
      <c r="E15" s="27">
        <v>1</v>
      </c>
      <c r="F15" s="27">
        <v>1</v>
      </c>
      <c r="G15" s="22">
        <f>IF(AND($C15="",$D15=""),0,IF(AND($C15&gt;$D15,E15&gt;F15),'Tabla general'!$L$4,IF(AND($D15&gt;$C15,F15&gt;E15),'Tabla general'!$L$4,IF(AND($C15=$D15,E15=F15),'Tabla general'!$L$4,0))) + IF(AND($C15=E15,$D15=F15),'Tabla general'!$L$5,0))</f>
        <v>0</v>
      </c>
      <c r="H15" s="27">
        <v>1</v>
      </c>
      <c r="I15" s="27">
        <v>2</v>
      </c>
      <c r="J15" s="9">
        <f>IF(AND($C15="",$D15=""),0,IF(AND($C15&gt;$D15,H15&gt;I15),'Tabla general'!$L$4,IF(AND($D15&gt;$C15,I15&gt;H15),'Tabla general'!$L$4,IF(AND($C15=$D15,H15=I15),'Tabla general'!$L$4,0))) + IF(AND($C15=H15,$D15=I15),'Tabla general'!$L$5,0))</f>
        <v>1</v>
      </c>
      <c r="K15" s="29">
        <v>1</v>
      </c>
      <c r="L15" s="27">
        <v>1</v>
      </c>
      <c r="M15" s="7">
        <f>IF(AND($C15="",$D15=""),0,IF(AND($C15&gt;$D15,K15&gt;L15),'Tabla general'!$L$4,IF(AND($D15&gt;$C15,L15&gt;K15),'Tabla general'!$L$4,IF(AND($C15=$D15,K15=L15),'Tabla general'!$L$4,0))) + IF(AND($C15=K15,$D15=L15),'Tabla general'!$L$5,0))</f>
        <v>0</v>
      </c>
      <c r="N15" s="27">
        <v>2</v>
      </c>
      <c r="O15" s="27">
        <v>2</v>
      </c>
      <c r="P15" s="6">
        <f>IF(AND($C15="",$D15=""),0,IF(AND($C15&gt;$D15,N15&gt;O15),'Tabla general'!$L$4,IF(AND($D15&gt;$C15,O15&gt;N15),'Tabla general'!$L$4,IF(AND($C15=$D15,N15=O15),'Tabla general'!$L$4,0))) + IF(AND($C15=N15,$D15=O15),'Tabla general'!$L$5,0))</f>
        <v>0</v>
      </c>
      <c r="Q15" s="27">
        <v>1</v>
      </c>
      <c r="R15" s="27">
        <v>1</v>
      </c>
      <c r="S15" s="8">
        <f>IF(AND($C15="",$D15=""),0,IF(AND($C15&gt;$D15,Q15&gt;R15),'Tabla general'!$L$4,IF(AND($D15&gt;$C15,R15&gt;Q15),'Tabla general'!$L$4,IF(AND($C15=$D15,Q15=R15),'Tabla general'!$L$4,0))) + IF(AND($C15=Q15,$D15=R15),'Tabla general'!$L$5,0))</f>
        <v>0</v>
      </c>
    </row>
    <row r="16" spans="1:19">
      <c r="A16" s="5" t="s">
        <v>66</v>
      </c>
      <c r="B16" s="5" t="s">
        <v>67</v>
      </c>
      <c r="C16" s="36">
        <v>0</v>
      </c>
      <c r="D16" s="37">
        <v>2</v>
      </c>
      <c r="E16" s="27">
        <v>0</v>
      </c>
      <c r="F16" s="27">
        <v>0</v>
      </c>
      <c r="G16" s="22">
        <f>IF(AND($C16="",$D16=""),0,IF(AND($C16&gt;$D16,E16&gt;F16),'Tabla general'!$L$4,IF(AND($D16&gt;$C16,F16&gt;E16),'Tabla general'!$L$4,IF(AND($C16=$D16,E16=F16),'Tabla general'!$L$4,0))) + IF(AND($C16=E16,$D16=F16),'Tabla general'!$L$5,0))</f>
        <v>0</v>
      </c>
      <c r="H16" s="27">
        <v>0</v>
      </c>
      <c r="I16" s="27">
        <v>0</v>
      </c>
      <c r="J16" s="9">
        <f>IF(AND($C16="",$D16=""),0,IF(AND($C16&gt;$D16,H16&gt;I16),'Tabla general'!$L$4,IF(AND($D16&gt;$C16,I16&gt;H16),'Tabla general'!$L$4,IF(AND($C16=$D16,H16=I16),'Tabla general'!$L$4,0))) + IF(AND($C16=H16,$D16=I16),'Tabla general'!$L$5,0))</f>
        <v>0</v>
      </c>
      <c r="K16" s="29">
        <v>1</v>
      </c>
      <c r="L16" s="27">
        <v>0</v>
      </c>
      <c r="M16" s="7">
        <f>IF(AND($C16="",$D16=""),0,IF(AND($C16&gt;$D16,K16&gt;L16),'Tabla general'!$L$4,IF(AND($D16&gt;$C16,L16&gt;K16),'Tabla general'!$L$4,IF(AND($C16=$D16,K16=L16),'Tabla general'!$L$4,0))) + IF(AND($C16=K16,$D16=L16),'Tabla general'!$L$5,0))</f>
        <v>0</v>
      </c>
      <c r="N16" s="27">
        <v>0</v>
      </c>
      <c r="O16" s="27">
        <v>3</v>
      </c>
      <c r="P16" s="6">
        <f>IF(AND($C16="",$D16=""),0,IF(AND($C16&gt;$D16,N16&gt;O16),'Tabla general'!$L$4,IF(AND($D16&gt;$C16,O16&gt;N16),'Tabla general'!$L$4,IF(AND($C16=$D16,N16=O16),'Tabla general'!$L$4,0))) + IF(AND($C16=N16,$D16=O16),'Tabla general'!$L$5,0))</f>
        <v>1</v>
      </c>
      <c r="Q16" s="27">
        <v>2</v>
      </c>
      <c r="R16" s="27">
        <v>1</v>
      </c>
      <c r="S16" s="8">
        <f>IF(AND($C16="",$D16=""),0,IF(AND($C16&gt;$D16,Q16&gt;R16),'Tabla general'!$L$4,IF(AND($D16&gt;$C16,R16&gt;Q16),'Tabla general'!$L$4,IF(AND($C16=$D16,Q16=R16),'Tabla general'!$L$4,0))) + IF(AND($C16=Q16,$D16=R16),'Tabla general'!$L$5,0))</f>
        <v>0</v>
      </c>
    </row>
    <row r="17" spans="1:19">
      <c r="A17" s="5" t="s">
        <v>68</v>
      </c>
      <c r="B17" s="5" t="s">
        <v>69</v>
      </c>
      <c r="C17" s="36">
        <v>1</v>
      </c>
      <c r="D17" s="37">
        <v>1</v>
      </c>
      <c r="E17" s="27">
        <v>2</v>
      </c>
      <c r="F17" s="27">
        <v>0</v>
      </c>
      <c r="G17" s="22">
        <f>IF(AND($C17="",$D17=""),0,IF(AND($C17&gt;$D17,E17&gt;F17),'Tabla general'!$L$4,IF(AND($D17&gt;$C17,F17&gt;E17),'Tabla general'!$L$4,IF(AND($C17=$D17,E17=F17),'Tabla general'!$L$4,0))) + IF(AND($C17=E17,$D17=F17),'Tabla general'!$L$5,0))</f>
        <v>0</v>
      </c>
      <c r="H17" s="27">
        <v>3</v>
      </c>
      <c r="I17" s="27">
        <v>0</v>
      </c>
      <c r="J17" s="9">
        <f>IF(AND($C17="",$D17=""),0,IF(AND($C17&gt;$D17,H17&gt;I17),'Tabla general'!$L$4,IF(AND($D17&gt;$C17,I17&gt;H17),'Tabla general'!$L$4,IF(AND($C17=$D17,H17=I17),'Tabla general'!$L$4,0))) + IF(AND($C17=H17,$D17=I17),'Tabla general'!$L$5,0))</f>
        <v>0</v>
      </c>
      <c r="K17" s="29">
        <v>4</v>
      </c>
      <c r="L17" s="27">
        <v>0</v>
      </c>
      <c r="M17" s="7">
        <f>IF(AND($C17="",$D17=""),0,IF(AND($C17&gt;$D17,K17&gt;L17),'Tabla general'!$L$4,IF(AND($D17&gt;$C17,L17&gt;K17),'Tabla general'!$L$4,IF(AND($C17=$D17,K17=L17),'Tabla general'!$L$4,0))) + IF(AND($C17=K17,$D17=L17),'Tabla general'!$L$5,0))</f>
        <v>0</v>
      </c>
      <c r="N17" s="27">
        <v>2</v>
      </c>
      <c r="O17" s="27">
        <v>0</v>
      </c>
      <c r="P17" s="6">
        <f>IF(AND($C17="",$D17=""),0,IF(AND($C17&gt;$D17,N17&gt;O17),'Tabla general'!$L$4,IF(AND($D17&gt;$C17,O17&gt;N17),'Tabla general'!$L$4,IF(AND($C17=$D17,N17=O17),'Tabla general'!$L$4,0))) + IF(AND($C17=N17,$D17=O17),'Tabla general'!$L$5,0))</f>
        <v>0</v>
      </c>
      <c r="Q17" s="27">
        <v>2</v>
      </c>
      <c r="R17" s="27">
        <v>0</v>
      </c>
      <c r="S17" s="8">
        <f>IF(AND($C17="",$D17=""),0,IF(AND($C17&gt;$D17,Q17&gt;R17),'Tabla general'!$L$4,IF(AND($D17&gt;$C17,R17&gt;Q17),'Tabla general'!$L$4,IF(AND($C17=$D17,Q17=R17),'Tabla general'!$L$4,0))) + IF(AND($C17=Q17,$D17=R17),'Tabla general'!$L$5,0))</f>
        <v>0</v>
      </c>
    </row>
    <row r="18" spans="1:19">
      <c r="A18" s="5"/>
      <c r="B18" s="5"/>
      <c r="C18" s="5"/>
      <c r="D18" s="5"/>
      <c r="E18" s="46" t="s">
        <v>70</v>
      </c>
      <c r="F18" s="47"/>
      <c r="G18" s="17">
        <f>SUM(G$6:G$17,G$4)</f>
        <v>11</v>
      </c>
      <c r="H18" s="11"/>
      <c r="I18" s="11"/>
      <c r="J18" s="5">
        <f>SUM(J$6:J$17,J$4)</f>
        <v>9</v>
      </c>
      <c r="K18" s="24"/>
      <c r="L18" s="5"/>
      <c r="M18" s="5">
        <f>SUM(M$6:M$17,M$4)</f>
        <v>5</v>
      </c>
      <c r="N18" s="5"/>
      <c r="O18" s="5"/>
      <c r="P18" s="5">
        <f>SUM(P$6:P$17,P$4)</f>
        <v>5</v>
      </c>
      <c r="Q18" s="5"/>
      <c r="R18" s="5"/>
      <c r="S18" s="5">
        <f>SUM(S$6:S$17,S$4)</f>
        <v>9</v>
      </c>
    </row>
  </sheetData>
  <sheetProtection sheet="1" objects="1" scenarios="1"/>
  <mergeCells count="25">
    <mergeCell ref="A5:B5"/>
    <mergeCell ref="C5:D5"/>
    <mergeCell ref="E3:F3"/>
    <mergeCell ref="C3:D3"/>
    <mergeCell ref="C4:D4"/>
    <mergeCell ref="E4:F4"/>
    <mergeCell ref="Q2:S2"/>
    <mergeCell ref="Q5:R5"/>
    <mergeCell ref="E5:F5"/>
    <mergeCell ref="H5:I5"/>
    <mergeCell ref="K5:L5"/>
    <mergeCell ref="N5:O5"/>
    <mergeCell ref="Q4:R4"/>
    <mergeCell ref="H3:I3"/>
    <mergeCell ref="K3:L3"/>
    <mergeCell ref="N3:O3"/>
    <mergeCell ref="Q3:R3"/>
    <mergeCell ref="H4:I4"/>
    <mergeCell ref="K4:L4"/>
    <mergeCell ref="N4:O4"/>
    <mergeCell ref="E18:F18"/>
    <mergeCell ref="E2:G2"/>
    <mergeCell ref="H2:J2"/>
    <mergeCell ref="K2:M2"/>
    <mergeCell ref="N2:P2"/>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autoPageBreaks="0"/>
  </sheetPr>
  <dimension ref="A1:S18"/>
  <sheetViews>
    <sheetView workbookViewId="0">
      <selection activeCell="M14" sqref="M14"/>
    </sheetView>
  </sheetViews>
  <sheetFormatPr defaultColWidth="11.42578125" defaultRowHeight="15"/>
  <cols>
    <col min="1" max="1" width="19.42578125" customWidth="1"/>
    <col min="2" max="2" width="18.140625" bestFit="1" customWidth="1"/>
    <col min="5" max="19" width="11.42578125" customWidth="1"/>
  </cols>
  <sheetData>
    <row r="1" spans="1:19">
      <c r="A1" s="34" t="s">
        <v>71</v>
      </c>
      <c r="B1" s="5"/>
      <c r="C1" s="5"/>
      <c r="D1" s="5"/>
      <c r="E1" s="10"/>
      <c r="F1" s="10"/>
      <c r="G1" s="10"/>
      <c r="H1" s="10"/>
      <c r="I1" s="10"/>
      <c r="J1" s="10"/>
      <c r="K1" s="5"/>
      <c r="L1" s="5"/>
      <c r="M1" s="5"/>
      <c r="N1" s="5"/>
      <c r="O1" s="5"/>
      <c r="P1" s="5"/>
      <c r="Q1" s="5"/>
      <c r="R1" s="5"/>
      <c r="S1" s="5"/>
    </row>
    <row r="2" spans="1:19">
      <c r="A2" s="5"/>
      <c r="B2" s="5" t="s">
        <v>39</v>
      </c>
      <c r="C2" s="5"/>
      <c r="D2" s="16"/>
      <c r="E2" s="48">
        <v>1</v>
      </c>
      <c r="F2" s="49"/>
      <c r="G2" s="50"/>
      <c r="H2" s="51">
        <v>2</v>
      </c>
      <c r="I2" s="52"/>
      <c r="J2" s="53"/>
      <c r="K2" s="54">
        <v>3</v>
      </c>
      <c r="L2" s="55"/>
      <c r="M2" s="56"/>
      <c r="N2" s="57">
        <v>4</v>
      </c>
      <c r="O2" s="58"/>
      <c r="P2" s="59"/>
      <c r="Q2" s="60">
        <v>5</v>
      </c>
      <c r="R2" s="61"/>
      <c r="S2" s="62"/>
    </row>
    <row r="3" spans="1:19">
      <c r="A3" s="5"/>
      <c r="B3" s="5" t="s">
        <v>40</v>
      </c>
      <c r="C3" s="74" t="s">
        <v>41</v>
      </c>
      <c r="D3" s="75"/>
      <c r="E3" s="76" t="str">
        <f>VLOOKUP(E$2,[0]!participantes,2)</f>
        <v>Carlos Ruíz</v>
      </c>
      <c r="F3" s="76"/>
      <c r="G3" s="39" t="s">
        <v>34</v>
      </c>
      <c r="H3" s="51" t="str">
        <f>VLOOKUP(H$2,[0]!participantes,2)</f>
        <v>Javier Ruíz</v>
      </c>
      <c r="I3" s="52"/>
      <c r="J3" s="30" t="s">
        <v>34</v>
      </c>
      <c r="K3" s="54" t="str">
        <f>VLOOKUP(K$2,[0]!participantes,2)</f>
        <v>Jair Salomón</v>
      </c>
      <c r="L3" s="55"/>
      <c r="M3" s="31" t="s">
        <v>34</v>
      </c>
      <c r="N3" s="57" t="str">
        <f>VLOOKUP(N$2,[0]!participantes,2)</f>
        <v>Kevin Salomón</v>
      </c>
      <c r="O3" s="58"/>
      <c r="P3" s="32" t="s">
        <v>34</v>
      </c>
      <c r="Q3" s="60" t="str">
        <f>VLOOKUP(Q$2,[0]!participantes,2)</f>
        <v>Roberto Ruíz</v>
      </c>
      <c r="R3" s="61"/>
      <c r="S3" s="33" t="s">
        <v>34</v>
      </c>
    </row>
    <row r="4" spans="1:19" ht="15.75" thickBot="1">
      <c r="A4" s="10"/>
      <c r="B4" s="10" t="s">
        <v>42</v>
      </c>
      <c r="C4" s="79">
        <f>SUM(C6:D17)</f>
        <v>25</v>
      </c>
      <c r="D4" s="80"/>
      <c r="E4" s="69">
        <f>SUM(E6:F17)</f>
        <v>31</v>
      </c>
      <c r="F4" s="70"/>
      <c r="G4" s="18">
        <f>IF(E4=$C$4,'Tabla general'!$L$6,0)</f>
        <v>0</v>
      </c>
      <c r="H4" s="71">
        <f>SUM(H6:I17)</f>
        <v>28</v>
      </c>
      <c r="I4" s="71"/>
      <c r="J4" s="25">
        <f>IF(H4=$C$4,'Tabla general'!$L$6,0)</f>
        <v>0</v>
      </c>
      <c r="K4" s="72">
        <v>25</v>
      </c>
      <c r="L4" s="70"/>
      <c r="M4" s="19">
        <f>IF(K4=$C$4,'Tabla general'!$L$6,0)</f>
        <v>3</v>
      </c>
      <c r="N4" s="69">
        <f>SUM(N6:O17)</f>
        <v>22</v>
      </c>
      <c r="O4" s="70"/>
      <c r="P4" s="20">
        <f>IF(N4=$C$4,'Tabla general'!$L$6,0)</f>
        <v>0</v>
      </c>
      <c r="Q4" s="69">
        <f>SUM(Q6:R17)</f>
        <v>18</v>
      </c>
      <c r="R4" s="70"/>
      <c r="S4" s="21">
        <f>IF(Q4=$C$4,'Tabla general'!$L$6,0)</f>
        <v>0</v>
      </c>
    </row>
    <row r="5" spans="1:19" s="23" customFormat="1" ht="15.75" thickBot="1">
      <c r="A5" s="73" t="s">
        <v>43</v>
      </c>
      <c r="B5" s="73"/>
      <c r="C5" s="74" t="s">
        <v>44</v>
      </c>
      <c r="D5" s="75"/>
      <c r="E5" s="64" t="s">
        <v>45</v>
      </c>
      <c r="F5" s="64"/>
      <c r="G5" s="41" t="s">
        <v>34</v>
      </c>
      <c r="H5" s="65" t="s">
        <v>45</v>
      </c>
      <c r="I5" s="65"/>
      <c r="J5" s="42" t="s">
        <v>34</v>
      </c>
      <c r="K5" s="66" t="s">
        <v>45</v>
      </c>
      <c r="L5" s="67"/>
      <c r="M5" s="43" t="s">
        <v>34</v>
      </c>
      <c r="N5" s="68" t="s">
        <v>45</v>
      </c>
      <c r="O5" s="68"/>
      <c r="P5" s="44" t="s">
        <v>34</v>
      </c>
      <c r="Q5" s="63" t="s">
        <v>45</v>
      </c>
      <c r="R5" s="63"/>
      <c r="S5" s="40" t="s">
        <v>34</v>
      </c>
    </row>
    <row r="6" spans="1:19">
      <c r="A6" s="5" t="s">
        <v>53</v>
      </c>
      <c r="B6" s="5" t="s">
        <v>51</v>
      </c>
      <c r="C6" s="36">
        <v>1</v>
      </c>
      <c r="D6" s="37">
        <v>2</v>
      </c>
      <c r="E6" s="26">
        <v>2</v>
      </c>
      <c r="F6" s="26">
        <v>1</v>
      </c>
      <c r="G6" s="22">
        <f>IF(AND($C6="",$D6=""),0,IF(AND($C6&gt;$D6,E6&gt;F6),'Tabla general'!$L$4,IF(AND($D6&gt;$C6,F6&gt;E6),'Tabla general'!$L$4,IF(AND($C6=$D6,E6=F6),'Tabla general'!$L$4,0))) + IF(AND($C6=E6,$D6=F6),'Tabla general'!$L$5,0))</f>
        <v>0</v>
      </c>
      <c r="H6" s="26">
        <v>2</v>
      </c>
      <c r="I6" s="26">
        <v>1</v>
      </c>
      <c r="J6" s="12">
        <f>IF(AND($C6="",$D6=""),0,IF(AND($C6&gt;$D6,H6&gt;I6),'Tabla general'!$L$4,IF(AND($D6&gt;$C6,I6&gt;H6),'Tabla general'!$L$4,IF(AND($C6=$D6,H6=I6),'Tabla general'!$L$4,0))) + IF(AND($C6=H6,$D6=I6),'Tabla general'!$L$5,0))</f>
        <v>0</v>
      </c>
      <c r="K6" s="28">
        <v>2</v>
      </c>
      <c r="L6" s="26">
        <v>1</v>
      </c>
      <c r="M6" s="13">
        <f>IF(AND($C6="",$D6=""),0,IF(AND($C6&gt;$D6,K6&gt;L6),'Tabla general'!$L$4,IF(AND($D6&gt;$C6,L6&gt;K6),'Tabla general'!$L$4,IF(AND($C6=$D6,K6=L6),'Tabla general'!$L$4,0))) + IF(AND($C6=K6,$D6=L6),'Tabla general'!$L$5,0))</f>
        <v>0</v>
      </c>
      <c r="N6" s="26">
        <v>0</v>
      </c>
      <c r="O6" s="26">
        <v>1</v>
      </c>
      <c r="P6" s="14">
        <f>IF(AND($C6="",$D6=""),0,IF(AND($C6&gt;$D6,N6&gt;O6),'Tabla general'!$L$4,IF(AND($D6&gt;$C6,O6&gt;N6),'Tabla general'!$L$4,IF(AND($C6=$D6,N6=O6),'Tabla general'!$L$4,0))) + IF(AND($C6=N6,$D6=O6),'Tabla general'!$L$5,0))</f>
        <v>1</v>
      </c>
      <c r="Q6" s="26">
        <v>1</v>
      </c>
      <c r="R6" s="26">
        <v>0</v>
      </c>
      <c r="S6" s="15">
        <f>IF(AND($C6="",$D6=""),0,IF(AND($C6&gt;$D6,Q6&gt;R6),'Tabla general'!$L$4,IF(AND($D6&gt;$C6,R6&gt;Q6),'Tabla general'!$L$4,IF(AND($C6=$D6,Q6=R6),'Tabla general'!$L$4,0))) + IF(AND($C6=Q6,$D6=R6),'Tabla general'!$L$5,0))</f>
        <v>0</v>
      </c>
    </row>
    <row r="7" spans="1:19">
      <c r="A7" s="5" t="s">
        <v>47</v>
      </c>
      <c r="B7" s="5" t="s">
        <v>49</v>
      </c>
      <c r="C7" s="36">
        <v>1</v>
      </c>
      <c r="D7" s="37">
        <v>1</v>
      </c>
      <c r="E7" s="27">
        <v>1</v>
      </c>
      <c r="F7" s="27">
        <v>2</v>
      </c>
      <c r="G7" s="22">
        <f>IF(AND($C7="",$D7=""),0,IF(AND($C7&gt;$D7,E7&gt;F7),'Tabla general'!$L$4,IF(AND($D7&gt;$C7,F7&gt;E7),'Tabla general'!$L$4,IF(AND($C7=$D7,E7=F7),'Tabla general'!$L$4,0))) + IF(AND($C7=E7,$D7=F7),'Tabla general'!$L$5,0))</f>
        <v>0</v>
      </c>
      <c r="H7" s="27">
        <v>1</v>
      </c>
      <c r="I7" s="27">
        <v>1</v>
      </c>
      <c r="J7" s="9">
        <f>IF(AND($C7="",$D7=""),0,IF(AND($C7&gt;$D7,H7&gt;I7),'Tabla general'!$L$4,IF(AND($D7&gt;$C7,I7&gt;H7),'Tabla general'!$L$4,IF(AND($C7=$D7,H7=I7),'Tabla general'!$L$4,0))) + IF(AND($C7=H7,$D7=I7),'Tabla general'!$L$5,0))</f>
        <v>2</v>
      </c>
      <c r="K7" s="29">
        <v>0</v>
      </c>
      <c r="L7" s="27">
        <v>2</v>
      </c>
      <c r="M7" s="7">
        <f>IF(AND($C7="",$D7=""),0,IF(AND($C7&gt;$D7,K7&gt;L7),'Tabla general'!$L$4,IF(AND($D7&gt;$C7,L7&gt;K7),'Tabla general'!$L$4,IF(AND($C7=$D7,K7=L7),'Tabla general'!$L$4,0))) + IF(AND($C7=K7,$D7=L7),'Tabla general'!$L$5,0))</f>
        <v>0</v>
      </c>
      <c r="N7" s="27">
        <v>1</v>
      </c>
      <c r="O7" s="27">
        <v>1</v>
      </c>
      <c r="P7" s="6">
        <f>IF(AND($C7="",$D7=""),0,IF(AND($C7&gt;$D7,N7&gt;O7),'Tabla general'!$L$4,IF(AND($D7&gt;$C7,O7&gt;N7),'Tabla general'!$L$4,IF(AND($C7=$D7,N7=O7),'Tabla general'!$L$4,0))) + IF(AND($C7=N7,$D7=O7),'Tabla general'!$L$5,0))</f>
        <v>2</v>
      </c>
      <c r="Q7" s="27">
        <v>0</v>
      </c>
      <c r="R7" s="27">
        <v>1</v>
      </c>
      <c r="S7" s="8">
        <f>IF(AND($C7="",$D7=""),0,IF(AND($C7&gt;$D7,Q7&gt;R7),'Tabla general'!$L$4,IF(AND($D7&gt;$C7,R7&gt;Q7),'Tabla general'!$L$4,IF(AND($C7=$D7,Q7=R7),'Tabla general'!$L$4,0))) + IF(AND($C7=Q7,$D7=R7),'Tabla general'!$L$5,0))</f>
        <v>0</v>
      </c>
    </row>
    <row r="8" spans="1:19">
      <c r="A8" s="5" t="s">
        <v>46</v>
      </c>
      <c r="B8" s="5" t="s">
        <v>48</v>
      </c>
      <c r="C8" s="36">
        <v>2</v>
      </c>
      <c r="D8" s="37">
        <v>0</v>
      </c>
      <c r="E8" s="27">
        <v>3</v>
      </c>
      <c r="F8" s="27">
        <v>1</v>
      </c>
      <c r="G8" s="22">
        <f>IF(AND($C8="",$D8=""),0,IF(AND($C8&gt;$D8,E8&gt;F8),'Tabla general'!$L$4,IF(AND($D8&gt;$C8,F8&gt;E8),'Tabla general'!$L$4,IF(AND($C8=$D8,E8=F8),'Tabla general'!$L$4,0))) + IF(AND($C8=E8,$D8=F8),'Tabla general'!$L$5,0))</f>
        <v>1</v>
      </c>
      <c r="H8" s="27">
        <v>2</v>
      </c>
      <c r="I8" s="27">
        <v>0</v>
      </c>
      <c r="J8" s="9">
        <f>IF(AND($C8="",$D8=""),0,IF(AND($C8&gt;$D8,H8&gt;I8),'Tabla general'!$L$4,IF(AND($D8&gt;$C8,I8&gt;H8),'Tabla general'!$L$4,IF(AND($C8=$D8,H8=I8),'Tabla general'!$L$4,0))) + IF(AND($C8=H8,$D8=I8),'Tabla general'!$L$5,0))</f>
        <v>2</v>
      </c>
      <c r="K8" s="29">
        <v>2</v>
      </c>
      <c r="L8" s="27">
        <v>0</v>
      </c>
      <c r="M8" s="7">
        <f>IF(AND($C8="",$D8=""),0,IF(AND($C8&gt;$D8,K8&gt;L8),'Tabla general'!$L$4,IF(AND($D8&gt;$C8,L8&gt;K8),'Tabla general'!$L$4,IF(AND($C8=$D8,K8=L8),'Tabla general'!$L$4,0))) + IF(AND($C8=K8,$D8=L8),'Tabla general'!$L$5,0))</f>
        <v>2</v>
      </c>
      <c r="N8" s="27">
        <v>2</v>
      </c>
      <c r="O8" s="27">
        <v>0</v>
      </c>
      <c r="P8" s="6">
        <f>IF(AND($C8="",$D8=""),0,IF(AND($C8&gt;$D8,N8&gt;O8),'Tabla general'!$L$4,IF(AND($D8&gt;$C8,O8&gt;N8),'Tabla general'!$L$4,IF(AND($C8=$D8,N8=O8),'Tabla general'!$L$4,0))) + IF(AND($C8=N8,$D8=O8),'Tabla general'!$L$5,0))</f>
        <v>2</v>
      </c>
      <c r="Q8" s="27">
        <v>1</v>
      </c>
      <c r="R8" s="27">
        <v>0</v>
      </c>
      <c r="S8" s="8">
        <f>IF(AND($C8="",$D8=""),0,IF(AND($C8&gt;$D8,Q8&gt;R8),'Tabla general'!$L$4,IF(AND($D8&gt;$C8,R8&gt;Q8),'Tabla general'!$L$4,IF(AND($C8=$D8,Q8=R8),'Tabla general'!$L$4,0))) + IF(AND($C8=Q8,$D8=R8),'Tabla general'!$L$5,0))</f>
        <v>1</v>
      </c>
    </row>
    <row r="9" spans="1:19">
      <c r="A9" s="5" t="s">
        <v>52</v>
      </c>
      <c r="B9" s="5" t="s">
        <v>50</v>
      </c>
      <c r="C9" s="36">
        <v>2</v>
      </c>
      <c r="D9" s="37">
        <v>1</v>
      </c>
      <c r="E9" s="27">
        <v>1</v>
      </c>
      <c r="F9" s="27">
        <v>1</v>
      </c>
      <c r="G9" s="22">
        <f>IF(AND($C9="",$D9=""),0,IF(AND($C9&gt;$D9,E9&gt;F9),'Tabla general'!$L$4,IF(AND($D9&gt;$C9,F9&gt;E9),'Tabla general'!$L$4,IF(AND($C9=$D9,E9=F9),'Tabla general'!$L$4,0))) + IF(AND($C9=E9,$D9=F9),'Tabla general'!$L$5,0))</f>
        <v>0</v>
      </c>
      <c r="H9" s="27">
        <v>2</v>
      </c>
      <c r="I9" s="27">
        <v>1</v>
      </c>
      <c r="J9" s="9">
        <f>IF(AND($C9="",$D9=""),0,IF(AND($C9&gt;$D9,H9&gt;I9),'Tabla general'!$L$4,IF(AND($D9&gt;$C9,I9&gt;H9),'Tabla general'!$L$4,IF(AND($C9=$D9,H9=I9),'Tabla general'!$L$4,0))) + IF(AND($C9=H9,$D9=I9),'Tabla general'!$L$5,0))</f>
        <v>2</v>
      </c>
      <c r="K9" s="29">
        <v>2</v>
      </c>
      <c r="L9" s="27">
        <v>1</v>
      </c>
      <c r="M9" s="7">
        <f>IF(AND($C9="",$D9=""),0,IF(AND($C9&gt;$D9,K9&gt;L9),'Tabla general'!$L$4,IF(AND($D9&gt;$C9,L9&gt;K9),'Tabla general'!$L$4,IF(AND($C9=$D9,K9=L9),'Tabla general'!$L$4,0))) + IF(AND($C9=K9,$D9=L9),'Tabla general'!$L$5,0))</f>
        <v>2</v>
      </c>
      <c r="N9" s="27">
        <v>2</v>
      </c>
      <c r="O9" s="27">
        <v>1</v>
      </c>
      <c r="P9" s="6">
        <f>IF(AND($C9="",$D9=""),0,IF(AND($C9&gt;$D9,N9&gt;O9),'Tabla general'!$L$4,IF(AND($D9&gt;$C9,O9&gt;N9),'Tabla general'!$L$4,IF(AND($C9=$D9,N9=O9),'Tabla general'!$L$4,0))) + IF(AND($C9=N9,$D9=O9),'Tabla general'!$L$5,0))</f>
        <v>2</v>
      </c>
      <c r="Q9" s="27">
        <v>1</v>
      </c>
      <c r="R9" s="27">
        <v>1</v>
      </c>
      <c r="S9" s="8">
        <f>IF(AND($C9="",$D9=""),0,IF(AND($C9&gt;$D9,Q9&gt;R9),'Tabla general'!$L$4,IF(AND($D9&gt;$C9,R9&gt;Q9),'Tabla general'!$L$4,IF(AND($C9=$D9,Q9=R9),'Tabla general'!$L$4,0))) + IF(AND($C9=Q9,$D9=R9),'Tabla general'!$L$5,0))</f>
        <v>0</v>
      </c>
    </row>
    <row r="10" spans="1:19">
      <c r="A10" s="5" t="s">
        <v>59</v>
      </c>
      <c r="B10" s="5" t="s">
        <v>57</v>
      </c>
      <c r="C10" s="36">
        <v>0</v>
      </c>
      <c r="D10" s="37">
        <v>2</v>
      </c>
      <c r="E10" s="27">
        <v>0</v>
      </c>
      <c r="F10" s="27">
        <v>1</v>
      </c>
      <c r="G10" s="22">
        <f>IF(AND($C10="",$D10=""),0,IF(AND($C10&gt;$D10,E10&gt;F10),'Tabla general'!$L$4,IF(AND($D10&gt;$C10,F10&gt;E10),'Tabla general'!$L$4,IF(AND($C10=$D10,E10=F10),'Tabla general'!$L$4,0))) + IF(AND($C10=E10,$D10=F10),'Tabla general'!$L$5,0))</f>
        <v>1</v>
      </c>
      <c r="H10" s="27">
        <v>2</v>
      </c>
      <c r="I10" s="27">
        <v>0</v>
      </c>
      <c r="J10" s="9">
        <f>IF(AND($C10="",$D10=""),0,IF(AND($C10&gt;$D10,H10&gt;I10),'Tabla general'!$L$4,IF(AND($D10&gt;$C10,I10&gt;H10),'Tabla general'!$L$4,IF(AND($C10=$D10,H10=I10),'Tabla general'!$L$4,0))) + IF(AND($C10=H10,$D10=I10),'Tabla general'!$L$5,0))</f>
        <v>0</v>
      </c>
      <c r="K10" s="29">
        <v>1</v>
      </c>
      <c r="L10" s="27">
        <v>2</v>
      </c>
      <c r="M10" s="7">
        <f>IF(AND($C10="",$D10=""),0,IF(AND($C10&gt;$D10,K10&gt;L10),'Tabla general'!$L$4,IF(AND($D10&gt;$C10,L10&gt;K10),'Tabla general'!$L$4,IF(AND($C10=$D10,K10=L10),'Tabla general'!$L$4,0))) + IF(AND($C10=K10,$D10=L10),'Tabla general'!$L$5,0))</f>
        <v>1</v>
      </c>
      <c r="N10" s="27">
        <v>0</v>
      </c>
      <c r="O10" s="27">
        <v>1</v>
      </c>
      <c r="P10" s="6">
        <f>IF(AND($C10="",$D10=""),0,IF(AND($C10&gt;$D10,N10&gt;O10),'Tabla general'!$L$4,IF(AND($D10&gt;$C10,O10&gt;N10),'Tabla general'!$L$4,IF(AND($C10=$D10,N10=O10),'Tabla general'!$L$4,0))) + IF(AND($C10=N10,$D10=O10),'Tabla general'!$L$5,0))</f>
        <v>1</v>
      </c>
      <c r="Q10" s="27">
        <v>0</v>
      </c>
      <c r="R10" s="27">
        <v>0</v>
      </c>
      <c r="S10" s="8">
        <f>IF(AND($C10="",$D10=""),0,IF(AND($C10&gt;$D10,Q10&gt;R10),'Tabla general'!$L$4,IF(AND($D10&gt;$C10,R10&gt;Q10),'Tabla general'!$L$4,IF(AND($C10=$D10,Q10=R10),'Tabla general'!$L$4,0))) + IF(AND($C10=Q10,$D10=R10),'Tabla general'!$L$5,0))</f>
        <v>0</v>
      </c>
    </row>
    <row r="11" spans="1:19">
      <c r="A11" s="5" t="s">
        <v>58</v>
      </c>
      <c r="B11" s="5" t="s">
        <v>56</v>
      </c>
      <c r="C11" s="36">
        <v>0</v>
      </c>
      <c r="D11" s="37">
        <v>0</v>
      </c>
      <c r="E11" s="27">
        <v>2</v>
      </c>
      <c r="F11" s="27">
        <v>2</v>
      </c>
      <c r="G11" s="22">
        <f>IF(AND($C11="",$D11=""),0,IF(AND($C11&gt;$D11,E11&gt;F11),'Tabla general'!$L$4,IF(AND($D11&gt;$C11,F11&gt;E11),'Tabla general'!$L$4,IF(AND($C11=$D11,E11=F11),'Tabla general'!$L$4,0))) + IF(AND($C11=E11,$D11=F11),'Tabla general'!$L$5,0))</f>
        <v>1</v>
      </c>
      <c r="H11" s="27">
        <v>3</v>
      </c>
      <c r="I11" s="27">
        <v>1</v>
      </c>
      <c r="J11" s="9">
        <f>IF(AND($C11="",$D11=""),0,IF(AND($C11&gt;$D11,H11&gt;I11),'Tabla general'!$L$4,IF(AND($D11&gt;$C11,I11&gt;H11),'Tabla general'!$L$4,IF(AND($C11=$D11,H11=I11),'Tabla general'!$L$4,0))) + IF(AND($C11=H11,$D11=I11),'Tabla general'!$L$5,0))</f>
        <v>0</v>
      </c>
      <c r="K11" s="29">
        <v>2</v>
      </c>
      <c r="L11" s="27">
        <v>1</v>
      </c>
      <c r="M11" s="7">
        <f>IF(AND($C11="",$D11=""),0,IF(AND($C11&gt;$D11,K11&gt;L11),'Tabla general'!$L$4,IF(AND($D11&gt;$C11,L11&gt;K11),'Tabla general'!$L$4,IF(AND($C11=$D11,K11=L11),'Tabla general'!$L$4,0))) + IF(AND($C11=K11,$D11=L11),'Tabla general'!$L$5,0))</f>
        <v>0</v>
      </c>
      <c r="N11" s="27">
        <v>1</v>
      </c>
      <c r="O11" s="27">
        <v>0</v>
      </c>
      <c r="P11" s="6">
        <f>IF(AND($C11="",$D11=""),0,IF(AND($C11&gt;$D11,N11&gt;O11),'Tabla general'!$L$4,IF(AND($D11&gt;$C11,O11&gt;N11),'Tabla general'!$L$4,IF(AND($C11=$D11,N11=O11),'Tabla general'!$L$4,0))) + IF(AND($C11=N11,$D11=O11),'Tabla general'!$L$5,0))</f>
        <v>0</v>
      </c>
      <c r="Q11" s="27">
        <v>2</v>
      </c>
      <c r="R11" s="27">
        <v>0</v>
      </c>
      <c r="S11" s="8">
        <f>IF(AND($C11="",$D11=""),0,IF(AND($C11&gt;$D11,Q11&gt;R11),'Tabla general'!$L$4,IF(AND($D11&gt;$C11,R11&gt;Q11),'Tabla general'!$L$4,IF(AND($C11=$D11,Q11=R11),'Tabla general'!$L$4,0))) + IF(AND($C11=Q11,$D11=R11),'Tabla general'!$L$5,0))</f>
        <v>0</v>
      </c>
    </row>
    <row r="12" spans="1:19">
      <c r="A12" s="5" t="s">
        <v>65</v>
      </c>
      <c r="B12" s="5" t="s">
        <v>63</v>
      </c>
      <c r="C12" s="36">
        <v>1</v>
      </c>
      <c r="D12" s="37">
        <v>0</v>
      </c>
      <c r="E12" s="27">
        <v>1</v>
      </c>
      <c r="F12" s="27">
        <v>1</v>
      </c>
      <c r="G12" s="22">
        <f>IF(AND($C12="",$D12=""),0,IF(AND($C12&gt;$D12,E12&gt;F12),'Tabla general'!$L$4,IF(AND($D12&gt;$C12,F12&gt;E12),'Tabla general'!$L$4,IF(AND($C12=$D12,E12=F12),'Tabla general'!$L$4,0))) + IF(AND($C12=E12,$D12=F12),'Tabla general'!$L$5,0))</f>
        <v>0</v>
      </c>
      <c r="H12" s="27">
        <v>2</v>
      </c>
      <c r="I12" s="27">
        <v>0</v>
      </c>
      <c r="J12" s="9">
        <f>IF(AND($C12="",$D12=""),0,IF(AND($C12&gt;$D12,H12&gt;I12),'Tabla general'!$L$4,IF(AND($D12&gt;$C12,I12&gt;H12),'Tabla general'!$L$4,IF(AND($C12=$D12,H12=I12),'Tabla general'!$L$4,0))) + IF(AND($C12=H12,$D12=I12),'Tabla general'!$L$5,0))</f>
        <v>1</v>
      </c>
      <c r="K12" s="29">
        <v>2</v>
      </c>
      <c r="L12" s="27">
        <v>1</v>
      </c>
      <c r="M12" s="7">
        <f>IF(AND($C12="",$D12=""),0,IF(AND($C12&gt;$D12,K12&gt;L12),'Tabla general'!$L$4,IF(AND($D12&gt;$C12,L12&gt;K12),'Tabla general'!$L$4,IF(AND($C12=$D12,K12=L12),'Tabla general'!$L$4,0))) + IF(AND($C12=K12,$D12=L12),'Tabla general'!$L$5,0))</f>
        <v>1</v>
      </c>
      <c r="N12" s="27">
        <v>1</v>
      </c>
      <c r="O12" s="27">
        <v>0</v>
      </c>
      <c r="P12" s="6">
        <f>IF(AND($C12="",$D12=""),0,IF(AND($C12&gt;$D12,N12&gt;O12),'Tabla general'!$L$4,IF(AND($D12&gt;$C12,O12&gt;N12),'Tabla general'!$L$4,IF(AND($C12=$D12,N12=O12),'Tabla general'!$L$4,0))) + IF(AND($C12=N12,$D12=O12),'Tabla general'!$L$5,0))</f>
        <v>2</v>
      </c>
      <c r="Q12" s="27">
        <v>1</v>
      </c>
      <c r="R12" s="27">
        <v>0</v>
      </c>
      <c r="S12" s="8">
        <f>IF(AND($C12="",$D12=""),0,IF(AND($C12&gt;$D12,Q12&gt;R12),'Tabla general'!$L$4,IF(AND($D12&gt;$C12,R12&gt;Q12),'Tabla general'!$L$4,IF(AND($C12=$D12,Q12=R12),'Tabla general'!$L$4,0))) + IF(AND($C12=Q12,$D12=R12),'Tabla general'!$L$5,0))</f>
        <v>2</v>
      </c>
    </row>
    <row r="13" spans="1:19">
      <c r="A13" s="5" t="s">
        <v>61</v>
      </c>
      <c r="B13" s="5" t="s">
        <v>55</v>
      </c>
      <c r="C13" s="36">
        <v>2</v>
      </c>
      <c r="D13" s="37">
        <v>2</v>
      </c>
      <c r="E13" s="27">
        <v>1</v>
      </c>
      <c r="F13" s="27">
        <v>2</v>
      </c>
      <c r="G13" s="22">
        <f>IF(AND($C13="",$D13=""),0,IF(AND($C13&gt;$D13,E13&gt;F13),'Tabla general'!$L$4,IF(AND($D13&gt;$C13,F13&gt;E13),'Tabla general'!$L$4,IF(AND($C13=$D13,E13=F13),'Tabla general'!$L$4,0))) + IF(AND($C13=E13,$D13=F13),'Tabla general'!$L$5,0))</f>
        <v>0</v>
      </c>
      <c r="H13" s="27">
        <v>1</v>
      </c>
      <c r="I13" s="27">
        <v>2</v>
      </c>
      <c r="J13" s="9">
        <f>IF(AND($C13="",$D13=""),0,IF(AND($C13&gt;$D13,H13&gt;I13),'Tabla general'!$L$4,IF(AND($D13&gt;$C13,I13&gt;H13),'Tabla general'!$L$4,IF(AND($C13=$D13,H13=I13),'Tabla general'!$L$4,0))) + IF(AND($C13=H13,$D13=I13),'Tabla general'!$L$5,0))</f>
        <v>0</v>
      </c>
      <c r="K13" s="29">
        <v>0</v>
      </c>
      <c r="L13" s="27">
        <v>2</v>
      </c>
      <c r="M13" s="7">
        <f>IF(AND($C13="",$D13=""),0,IF(AND($C13&gt;$D13,K13&gt;L13),'Tabla general'!$L$4,IF(AND($D13&gt;$C13,L13&gt;K13),'Tabla general'!$L$4,IF(AND($C13=$D13,K13=L13),'Tabla general'!$L$4,0))) + IF(AND($C13=K13,$D13=L13),'Tabla general'!$L$5,0))</f>
        <v>0</v>
      </c>
      <c r="N13" s="27">
        <v>2</v>
      </c>
      <c r="O13" s="27">
        <v>1</v>
      </c>
      <c r="P13" s="6">
        <f>IF(AND($C13="",$D13=""),0,IF(AND($C13&gt;$D13,N13&gt;O13),'Tabla general'!$L$4,IF(AND($D13&gt;$C13,O13&gt;N13),'Tabla general'!$L$4,IF(AND($C13=$D13,N13=O13),'Tabla general'!$L$4,0))) + IF(AND($C13=N13,$D13=O13),'Tabla general'!$L$5,0))</f>
        <v>0</v>
      </c>
      <c r="Q13" s="27">
        <v>1</v>
      </c>
      <c r="R13" s="27">
        <v>2</v>
      </c>
      <c r="S13" s="8">
        <f>IF(AND($C13="",$D13=""),0,IF(AND($C13&gt;$D13,Q13&gt;R13),'Tabla general'!$L$4,IF(AND($D13&gt;$C13,R13&gt;Q13),'Tabla general'!$L$4,IF(AND($C13=$D13,Q13=R13),'Tabla general'!$L$4,0))) + IF(AND($C13=Q13,$D13=R13),'Tabla general'!$L$5,0))</f>
        <v>0</v>
      </c>
    </row>
    <row r="14" spans="1:19">
      <c r="A14" s="5" t="s">
        <v>60</v>
      </c>
      <c r="B14" s="5" t="s">
        <v>54</v>
      </c>
      <c r="C14" s="36">
        <v>3</v>
      </c>
      <c r="D14" s="37">
        <v>0</v>
      </c>
      <c r="E14" s="27">
        <v>2</v>
      </c>
      <c r="F14" s="27">
        <v>1</v>
      </c>
      <c r="G14" s="22">
        <f>IF(AND($C14="",$D14=""),0,IF(AND($C14&gt;$D14,E14&gt;F14),'Tabla general'!$L$4,IF(AND($D14&gt;$C14,F14&gt;E14),'Tabla general'!$L$4,IF(AND($C14=$D14,E14=F14),'Tabla general'!$L$4,0))) + IF(AND($C14=E14,$D14=F14),'Tabla general'!$L$5,0))</f>
        <v>1</v>
      </c>
      <c r="H14" s="27">
        <v>2</v>
      </c>
      <c r="I14" s="27">
        <v>0</v>
      </c>
      <c r="J14" s="9">
        <f>IF(AND($C14="",$D14=""),0,IF(AND($C14&gt;$D14,H14&gt;I14),'Tabla general'!$L$4,IF(AND($D14&gt;$C14,I14&gt;H14),'Tabla general'!$L$4,IF(AND($C14=$D14,H14=I14),'Tabla general'!$L$4,0))) + IF(AND($C14=H14,$D14=I14),'Tabla general'!$L$5,0))</f>
        <v>1</v>
      </c>
      <c r="K14" s="29">
        <v>2</v>
      </c>
      <c r="L14" s="27">
        <v>0</v>
      </c>
      <c r="M14" s="7">
        <f>IF(AND($C14="",$D14=""),0,IF(AND($C14&gt;$D14,K14&gt;L14),'Tabla general'!$L$4,IF(AND($D14&gt;$C14,L14&gt;K14),'Tabla general'!$L$4,IF(AND($C14=$D14,K14=L14),'Tabla general'!$L$4,0))) + IF(AND($C14=K14,$D14=L14),'Tabla general'!$L$5,0))</f>
        <v>1</v>
      </c>
      <c r="N14" s="27">
        <v>2</v>
      </c>
      <c r="O14" s="27">
        <v>0</v>
      </c>
      <c r="P14" s="6">
        <f>IF(AND($C14="",$D14=""),0,IF(AND($C14&gt;$D14,N14&gt;O14),'Tabla general'!$L$4,IF(AND($D14&gt;$C14,O14&gt;N14),'Tabla general'!$L$4,IF(AND($C14=$D14,N14=O14),'Tabla general'!$L$4,0))) + IF(AND($C14=N14,$D14=O14),'Tabla general'!$L$5,0))</f>
        <v>1</v>
      </c>
      <c r="Q14" s="27">
        <v>1</v>
      </c>
      <c r="R14" s="27">
        <v>0</v>
      </c>
      <c r="S14" s="8">
        <f>IF(AND($C14="",$D14=""),0,IF(AND($C14&gt;$D14,Q14&gt;R14),'Tabla general'!$L$4,IF(AND($D14&gt;$C14,R14&gt;Q14),'Tabla general'!$L$4,IF(AND($C14=$D14,Q14=R14),'Tabla general'!$L$4,0))) + IF(AND($C14=Q14,$D14=R14),'Tabla general'!$L$5,0))</f>
        <v>1</v>
      </c>
    </row>
    <row r="15" spans="1:19">
      <c r="A15" s="11" t="s">
        <v>64</v>
      </c>
      <c r="B15" s="11" t="s">
        <v>62</v>
      </c>
      <c r="C15" s="36">
        <v>3</v>
      </c>
      <c r="D15" s="37">
        <v>0</v>
      </c>
      <c r="E15" s="27">
        <v>2</v>
      </c>
      <c r="F15" s="27">
        <v>0</v>
      </c>
      <c r="G15" s="22">
        <f>IF(AND($C15="",$D15=""),0,IF(AND($C15&gt;$D15,E15&gt;F15),'Tabla general'!$L$4,IF(AND($D15&gt;$C15,F15&gt;E15),'Tabla general'!$L$4,IF(AND($C15=$D15,E15=F15),'Tabla general'!$L$4,0))) + IF(AND($C15=E15,$D15=F15),'Tabla general'!$L$5,0))</f>
        <v>1</v>
      </c>
      <c r="H15" s="27">
        <v>2</v>
      </c>
      <c r="I15" s="27">
        <v>0</v>
      </c>
      <c r="J15" s="9">
        <f>IF(AND($C15="",$D15=""),0,IF(AND($C15&gt;$D15,H15&gt;I15),'Tabla general'!$L$4,IF(AND($D15&gt;$C15,I15&gt;H15),'Tabla general'!$L$4,IF(AND($C15=$D15,H15=I15),'Tabla general'!$L$4,0))) + IF(AND($C15=H15,$D15=I15),'Tabla general'!$L$5,0))</f>
        <v>1</v>
      </c>
      <c r="K15" s="29">
        <v>1</v>
      </c>
      <c r="L15" s="27">
        <v>0</v>
      </c>
      <c r="M15" s="7">
        <f>IF(AND($C15="",$D15=""),0,IF(AND($C15&gt;$D15,K15&gt;L15),'Tabla general'!$L$4,IF(AND($D15&gt;$C15,L15&gt;K15),'Tabla general'!$L$4,IF(AND($C15=$D15,K15=L15),'Tabla general'!$L$4,0))) + IF(AND($C15=K15,$D15=L15),'Tabla general'!$L$5,0))</f>
        <v>1</v>
      </c>
      <c r="N15" s="27">
        <v>1</v>
      </c>
      <c r="O15" s="27">
        <v>0</v>
      </c>
      <c r="P15" s="6">
        <f>IF(AND($C15="",$D15=""),0,IF(AND($C15&gt;$D15,N15&gt;O15),'Tabla general'!$L$4,IF(AND($D15&gt;$C15,O15&gt;N15),'Tabla general'!$L$4,IF(AND($C15=$D15,N15=O15),'Tabla general'!$L$4,0))) + IF(AND($C15=N15,$D15=O15),'Tabla general'!$L$5,0))</f>
        <v>1</v>
      </c>
      <c r="Q15" s="27">
        <v>2</v>
      </c>
      <c r="R15" s="27">
        <v>1</v>
      </c>
      <c r="S15" s="8">
        <f>IF(AND($C15="",$D15=""),0,IF(AND($C15&gt;$D15,Q15&gt;R15),'Tabla general'!$L$4,IF(AND($D15&gt;$C15,R15&gt;Q15),'Tabla general'!$L$4,IF(AND($C15=$D15,Q15=R15),'Tabla general'!$L$4,0))) + IF(AND($C15=Q15,$D15=R15),'Tabla general'!$L$5,0))</f>
        <v>1</v>
      </c>
    </row>
    <row r="16" spans="1:19">
      <c r="A16" s="5" t="s">
        <v>69</v>
      </c>
      <c r="B16" s="5" t="s">
        <v>72</v>
      </c>
      <c r="C16" s="36">
        <v>1</v>
      </c>
      <c r="D16" s="37">
        <v>1</v>
      </c>
      <c r="E16" s="27">
        <v>0</v>
      </c>
      <c r="F16" s="27">
        <v>2</v>
      </c>
      <c r="G16" s="22">
        <f>IF(AND($C16="",$D16=""),0,IF(AND($C16&gt;$D16,E16&gt;F16),'Tabla general'!$L$4,IF(AND($D16&gt;$C16,F16&gt;E16),'Tabla general'!$L$4,IF(AND($C16=$D16,E16=F16),'Tabla general'!$L$4,0))) + IF(AND($C16=E16,$D16=F16),'Tabla general'!$L$5,0))</f>
        <v>0</v>
      </c>
      <c r="H16" s="27">
        <v>0</v>
      </c>
      <c r="I16" s="27">
        <v>1</v>
      </c>
      <c r="J16" s="9">
        <f>IF(AND($C16="",$D16=""),0,IF(AND($C16&gt;$D16,H16&gt;I16),'Tabla general'!$L$4,IF(AND($D16&gt;$C16,I16&gt;H16),'Tabla general'!$L$4,IF(AND($C16=$D16,H16=I16),'Tabla general'!$L$4,0))) + IF(AND($C16=H16,$D16=I16),'Tabla general'!$L$5,0))</f>
        <v>0</v>
      </c>
      <c r="K16" s="29">
        <v>0</v>
      </c>
      <c r="L16" s="27">
        <v>1</v>
      </c>
      <c r="M16" s="7">
        <f>IF(AND($C16="",$D16=""),0,IF(AND($C16&gt;$D16,K16&gt;L16),'Tabla general'!$L$4,IF(AND($D16&gt;$C16,L16&gt;K16),'Tabla general'!$L$4,IF(AND($C16=$D16,K16=L16),'Tabla general'!$L$4,0))) + IF(AND($C16=K16,$D16=L16),'Tabla general'!$L$5,0))</f>
        <v>0</v>
      </c>
      <c r="N16" s="27">
        <v>1</v>
      </c>
      <c r="O16" s="27">
        <v>1</v>
      </c>
      <c r="P16" s="6">
        <f>IF(AND($C16="",$D16=""),0,IF(AND($C16&gt;$D16,N16&gt;O16),'Tabla general'!$L$4,IF(AND($D16&gt;$C16,O16&gt;N16),'Tabla general'!$L$4,IF(AND($C16=$D16,N16=O16),'Tabla general'!$L$4,0))) + IF(AND($C16=N16,$D16=O16),'Tabla general'!$L$5,0))</f>
        <v>2</v>
      </c>
      <c r="Q16" s="27">
        <v>1</v>
      </c>
      <c r="R16" s="27">
        <v>1</v>
      </c>
      <c r="S16" s="8">
        <f>IF(AND($C16="",$D16=""),0,IF(AND($C16&gt;$D16,Q16&gt;R16),'Tabla general'!$L$4,IF(AND($D16&gt;$C16,R16&gt;Q16),'Tabla general'!$L$4,IF(AND($C16=$D16,Q16=R16),'Tabla general'!$L$4,0))) + IF(AND($C16=Q16,$D16=R16),'Tabla general'!$L$5,0))</f>
        <v>2</v>
      </c>
    </row>
    <row r="17" spans="1:19">
      <c r="A17" s="5" t="s">
        <v>68</v>
      </c>
      <c r="B17" s="5" t="s">
        <v>66</v>
      </c>
      <c r="C17" s="36">
        <v>0</v>
      </c>
      <c r="D17" s="37">
        <v>0</v>
      </c>
      <c r="E17" s="27">
        <v>2</v>
      </c>
      <c r="F17" s="27">
        <v>0</v>
      </c>
      <c r="G17" s="22">
        <f>IF(AND($C17="",$D17=""),0,IF(AND($C17&gt;$D17,E17&gt;F17),'Tabla general'!$L$4,IF(AND($D17&gt;$C17,F17&gt;E17),'Tabla general'!$L$4,IF(AND($C17=$D17,E17=F17),'Tabla general'!$L$4,0))) + IF(AND($C17=E17,$D17=F17),'Tabla general'!$L$5,0))</f>
        <v>0</v>
      </c>
      <c r="H17" s="27">
        <v>2</v>
      </c>
      <c r="I17" s="27">
        <v>0</v>
      </c>
      <c r="J17" s="9">
        <f>IF(AND($C17="",$D17=""),0,IF(AND($C17&gt;$D17,H17&gt;I17),'Tabla general'!$L$4,IF(AND($D17&gt;$C17,I17&gt;H17),'Tabla general'!$L$4,IF(AND($C17=$D17,H17=I17),'Tabla general'!$L$4,0))) + IF(AND($C17=H17,$D17=I17),'Tabla general'!$L$5,0))</f>
        <v>0</v>
      </c>
      <c r="K17" s="29">
        <v>3</v>
      </c>
      <c r="L17" s="27">
        <v>0</v>
      </c>
      <c r="M17" s="7">
        <f>IF(AND($C17="",$D17=""),0,IF(AND($C17&gt;$D17,K17&gt;L17),'Tabla general'!$L$4,IF(AND($D17&gt;$C17,L17&gt;K17),'Tabla general'!$L$4,IF(AND($C17=$D17,K17=L17),'Tabla general'!$L$4,0))) + IF(AND($C17=K17,$D17=L17),'Tabla general'!$L$5,0))</f>
        <v>0</v>
      </c>
      <c r="N17" s="27">
        <v>2</v>
      </c>
      <c r="O17" s="27">
        <v>1</v>
      </c>
      <c r="P17" s="6">
        <f>IF(AND($C17="",$D17=""),0,IF(AND($C17&gt;$D17,N17&gt;O17),'Tabla general'!$L$4,IF(AND($D17&gt;$C17,O17&gt;N17),'Tabla general'!$L$4,IF(AND($C17=$D17,N17=O17),'Tabla general'!$L$4,0))) + IF(AND($C17=N17,$D17=O17),'Tabla general'!$L$5,0))</f>
        <v>0</v>
      </c>
      <c r="Q17" s="27">
        <v>1</v>
      </c>
      <c r="R17" s="27">
        <v>0</v>
      </c>
      <c r="S17" s="8">
        <f>IF(AND($C17="",$D17=""),0,IF(AND($C17&gt;$D17,Q17&gt;R17),'Tabla general'!$L$4,IF(AND($D17&gt;$C17,R17&gt;Q17),'Tabla general'!$L$4,IF(AND($C17=$D17,Q17=R17),'Tabla general'!$L$4,0))) + IF(AND($C17=Q17,$D17=R17),'Tabla general'!$L$5,0))</f>
        <v>0</v>
      </c>
    </row>
    <row r="18" spans="1:19">
      <c r="A18" s="5"/>
      <c r="B18" s="5"/>
      <c r="C18" s="5"/>
      <c r="D18" s="5"/>
      <c r="E18" s="46" t="s">
        <v>70</v>
      </c>
      <c r="F18" s="47"/>
      <c r="G18" s="17">
        <f>SUM(G$6:G$17,G$4)</f>
        <v>5</v>
      </c>
      <c r="H18" s="11"/>
      <c r="I18" s="11"/>
      <c r="J18" s="5">
        <f>SUM(J$6:J$17,J$4)</f>
        <v>9</v>
      </c>
      <c r="K18" s="24"/>
      <c r="L18" s="5"/>
      <c r="M18" s="5">
        <f>SUM(M$6:M$17,M$4)</f>
        <v>11</v>
      </c>
      <c r="N18" s="5"/>
      <c r="O18" s="5"/>
      <c r="P18" s="5">
        <f>SUM(P$6:P$17,P$4)</f>
        <v>14</v>
      </c>
      <c r="Q18" s="5"/>
      <c r="R18" s="5"/>
      <c r="S18" s="5">
        <f>SUM(S$6:S$17,S$4)</f>
        <v>7</v>
      </c>
    </row>
  </sheetData>
  <sheetProtection sheet="1" objects="1" scenarios="1"/>
  <mergeCells count="25">
    <mergeCell ref="E2:G2"/>
    <mergeCell ref="H2:J2"/>
    <mergeCell ref="K2:M2"/>
    <mergeCell ref="N2:P2"/>
    <mergeCell ref="Q2:S2"/>
    <mergeCell ref="Q4:R4"/>
    <mergeCell ref="C3:D3"/>
    <mergeCell ref="E3:F3"/>
    <mergeCell ref="H3:I3"/>
    <mergeCell ref="K3:L3"/>
    <mergeCell ref="N3:O3"/>
    <mergeCell ref="Q3:R3"/>
    <mergeCell ref="C4:D4"/>
    <mergeCell ref="E4:F4"/>
    <mergeCell ref="H4:I4"/>
    <mergeCell ref="K4:L4"/>
    <mergeCell ref="N4:O4"/>
    <mergeCell ref="Q5:R5"/>
    <mergeCell ref="E18:F18"/>
    <mergeCell ref="A5:B5"/>
    <mergeCell ref="C5:D5"/>
    <mergeCell ref="E5:F5"/>
    <mergeCell ref="H5:I5"/>
    <mergeCell ref="K5:L5"/>
    <mergeCell ref="N5:O5"/>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autoPageBreaks="0"/>
  </sheetPr>
  <dimension ref="A1:S18"/>
  <sheetViews>
    <sheetView zoomScaleNormal="100" workbookViewId="0">
      <pane xSplit="4" topLeftCell="E1" activePane="topRight" state="frozen"/>
      <selection pane="topRight" activeCell="D18" sqref="D18"/>
    </sheetView>
  </sheetViews>
  <sheetFormatPr defaultColWidth="11.42578125" defaultRowHeight="15"/>
  <cols>
    <col min="1" max="1" width="19.42578125" customWidth="1"/>
    <col min="2" max="2" width="18.140625" bestFit="1" customWidth="1"/>
  </cols>
  <sheetData>
    <row r="1" spans="1:19">
      <c r="A1" s="34" t="s">
        <v>73</v>
      </c>
      <c r="B1" s="5"/>
      <c r="C1" s="5"/>
      <c r="D1" s="5"/>
      <c r="E1" s="10"/>
      <c r="F1" s="10"/>
      <c r="G1" s="10"/>
      <c r="H1" s="10"/>
      <c r="I1" s="10"/>
      <c r="J1" s="10"/>
      <c r="K1" s="5"/>
      <c r="L1" s="5"/>
      <c r="M1" s="5"/>
      <c r="N1" s="5"/>
      <c r="O1" s="5"/>
      <c r="P1" s="5"/>
      <c r="Q1" s="5"/>
      <c r="R1" s="5"/>
      <c r="S1" s="5"/>
    </row>
    <row r="2" spans="1:19">
      <c r="A2" s="5"/>
      <c r="B2" s="5" t="s">
        <v>39</v>
      </c>
      <c r="C2" s="5"/>
      <c r="D2" s="16"/>
      <c r="E2" s="48">
        <v>1</v>
      </c>
      <c r="F2" s="49"/>
      <c r="G2" s="50"/>
      <c r="H2" s="51">
        <v>2</v>
      </c>
      <c r="I2" s="52"/>
      <c r="J2" s="53"/>
      <c r="K2" s="54">
        <v>3</v>
      </c>
      <c r="L2" s="55"/>
      <c r="M2" s="56"/>
      <c r="N2" s="57">
        <v>4</v>
      </c>
      <c r="O2" s="58"/>
      <c r="P2" s="59"/>
      <c r="Q2" s="60">
        <v>5</v>
      </c>
      <c r="R2" s="61"/>
      <c r="S2" s="62"/>
    </row>
    <row r="3" spans="1:19">
      <c r="A3" s="5"/>
      <c r="B3" s="5" t="s">
        <v>40</v>
      </c>
      <c r="C3" s="74" t="s">
        <v>41</v>
      </c>
      <c r="D3" s="75"/>
      <c r="E3" s="76" t="str">
        <f>VLOOKUP(E$2,[0]!participantes,2)</f>
        <v>Carlos Ruíz</v>
      </c>
      <c r="F3" s="76"/>
      <c r="G3" s="39" t="s">
        <v>34</v>
      </c>
      <c r="H3" s="51" t="str">
        <f>VLOOKUP(H$2,[0]!participantes,2)</f>
        <v>Javier Ruíz</v>
      </c>
      <c r="I3" s="52"/>
      <c r="J3" s="30" t="s">
        <v>34</v>
      </c>
      <c r="K3" s="54" t="str">
        <f>VLOOKUP(K$2,[0]!participantes,2)</f>
        <v>Jair Salomón</v>
      </c>
      <c r="L3" s="55"/>
      <c r="M3" s="31" t="s">
        <v>34</v>
      </c>
      <c r="N3" s="57" t="str">
        <f>VLOOKUP(N$2,[0]!participantes,2)</f>
        <v>Kevin Salomón</v>
      </c>
      <c r="O3" s="58"/>
      <c r="P3" s="32" t="s">
        <v>34</v>
      </c>
      <c r="Q3" s="60" t="str">
        <f>VLOOKUP(Q$2,[0]!participantes,2)</f>
        <v>Roberto Ruíz</v>
      </c>
      <c r="R3" s="61"/>
      <c r="S3" s="33" t="s">
        <v>34</v>
      </c>
    </row>
    <row r="4" spans="1:19" ht="15.75" thickBot="1">
      <c r="A4" s="10"/>
      <c r="B4" s="10" t="s">
        <v>42</v>
      </c>
      <c r="C4" s="79">
        <f>SUM(C6:D17)</f>
        <v>22</v>
      </c>
      <c r="D4" s="80"/>
      <c r="E4" s="69">
        <f>SUM(E6:F17)</f>
        <v>15</v>
      </c>
      <c r="F4" s="70"/>
      <c r="G4" s="18">
        <f>IF(E4=$C$4,'Tabla general'!$L$6,0)</f>
        <v>0</v>
      </c>
      <c r="H4" s="71">
        <f>SUM(H6:I17)</f>
        <v>34</v>
      </c>
      <c r="I4" s="71"/>
      <c r="J4" s="25">
        <f>IF(H4=$C$4,'Tabla general'!$L$6,0)</f>
        <v>0</v>
      </c>
      <c r="K4" s="72">
        <f>SUM(K6:L17)</f>
        <v>28</v>
      </c>
      <c r="L4" s="70"/>
      <c r="M4" s="19">
        <f>IF(K4=$C$4,'Tabla general'!$L$6,0)</f>
        <v>0</v>
      </c>
      <c r="N4" s="69">
        <f>SUM(N6:O17)</f>
        <v>26</v>
      </c>
      <c r="O4" s="70"/>
      <c r="P4" s="20">
        <f>IF(N4=$C$4,'Tabla general'!$L$6,0)</f>
        <v>0</v>
      </c>
      <c r="Q4" s="69">
        <f>SUM(Q6:R17)</f>
        <v>24</v>
      </c>
      <c r="R4" s="70"/>
      <c r="S4" s="21">
        <f>IF(Q4=$C$4,'Tabla general'!$L$6,0)</f>
        <v>0</v>
      </c>
    </row>
    <row r="5" spans="1:19" s="23" customFormat="1" ht="15.75" thickBot="1">
      <c r="A5" s="73" t="s">
        <v>43</v>
      </c>
      <c r="B5" s="73"/>
      <c r="C5" s="74" t="s">
        <v>44</v>
      </c>
      <c r="D5" s="75"/>
      <c r="E5" s="64" t="s">
        <v>45</v>
      </c>
      <c r="F5" s="64"/>
      <c r="G5" s="41" t="s">
        <v>34</v>
      </c>
      <c r="H5" s="65" t="s">
        <v>45</v>
      </c>
      <c r="I5" s="65"/>
      <c r="J5" s="42" t="s">
        <v>34</v>
      </c>
      <c r="K5" s="66" t="s">
        <v>45</v>
      </c>
      <c r="L5" s="67"/>
      <c r="M5" s="43" t="s">
        <v>34</v>
      </c>
      <c r="N5" s="68" t="s">
        <v>45</v>
      </c>
      <c r="O5" s="68"/>
      <c r="P5" s="44" t="s">
        <v>34</v>
      </c>
      <c r="Q5" s="63" t="s">
        <v>45</v>
      </c>
      <c r="R5" s="63"/>
      <c r="S5" s="40" t="s">
        <v>34</v>
      </c>
    </row>
    <row r="6" spans="1:19">
      <c r="A6" s="5" t="s">
        <v>49</v>
      </c>
      <c r="B6" s="5" t="s">
        <v>46</v>
      </c>
      <c r="C6" s="36">
        <v>0</v>
      </c>
      <c r="D6" s="37">
        <v>0</v>
      </c>
      <c r="E6" s="26">
        <v>0</v>
      </c>
      <c r="F6" s="26">
        <v>2</v>
      </c>
      <c r="G6" s="22">
        <f>IF(AND($C6="",$D6=""),0,IF(AND($C6&gt;$D6,E6&gt;F6),'Tabla general'!$L$4,IF(AND($D6&gt;$C6,F6&gt;E6),'Tabla general'!$L$4,IF(AND($C6=$D6,E6=F6),'Tabla general'!$L$4,0))) + IF(AND($C6=E6,$D6=F6),'Tabla general'!$L$5,0))</f>
        <v>0</v>
      </c>
      <c r="H6" s="26">
        <v>1</v>
      </c>
      <c r="I6" s="26">
        <v>2</v>
      </c>
      <c r="J6" s="12">
        <f>IF(AND($C6="",$D6=""),0,IF(AND($C6&gt;$D6,H6&gt;I6),'Tabla general'!$L$4,IF(AND($D6&gt;$C6,I6&gt;H6),'Tabla general'!$L$4,IF(AND($C6=$D6,H6=I6),'Tabla general'!$L$4,0))) + IF(AND($C6=H6,$D6=I6),'Tabla general'!$L$5,0))</f>
        <v>0</v>
      </c>
      <c r="K6" s="28">
        <v>1</v>
      </c>
      <c r="L6" s="26">
        <v>1</v>
      </c>
      <c r="M6" s="13">
        <f>IF(AND($C6="",$D6=""),0,IF(AND($C6&gt;$D6,K6&gt;L6),'Tabla general'!$L$4,IF(AND($D6&gt;$C6,L6&gt;K6),'Tabla general'!$L$4,IF(AND($C6=$D6,K6=L6),'Tabla general'!$L$4,0))) + IF(AND($C6=K6,$D6=L6),'Tabla general'!$L$5,0))</f>
        <v>1</v>
      </c>
      <c r="N6" s="26">
        <v>1</v>
      </c>
      <c r="O6" s="26">
        <v>1</v>
      </c>
      <c r="P6" s="14">
        <f>IF(AND($C6="",$D6=""),0,IF(AND($C6&gt;$D6,N6&gt;O6),'Tabla general'!$L$4,IF(AND($D6&gt;$C6,O6&gt;N6),'Tabla general'!$L$4,IF(AND($C6=$D6,N6=O6),'Tabla general'!$L$4,0))) + IF(AND($C6=N6,$D6=O6),'Tabla general'!$L$5,0))</f>
        <v>1</v>
      </c>
      <c r="Q6" s="26">
        <v>1</v>
      </c>
      <c r="R6" s="26">
        <v>2</v>
      </c>
      <c r="S6" s="15">
        <f>IF(AND($C6="",$D6=""),0,IF(AND($C6&gt;$D6,Q6&gt;R6),'Tabla general'!$L$4,IF(AND($D6&gt;$C6,R6&gt;Q6),'Tabla general'!$L$4,IF(AND($C6=$D6,Q6=R6),'Tabla general'!$L$4,0))) + IF(AND($C6=Q6,$D6=R6),'Tabla general'!$L$5,0))</f>
        <v>0</v>
      </c>
    </row>
    <row r="7" spans="1:19">
      <c r="A7" s="5" t="s">
        <v>47</v>
      </c>
      <c r="B7" s="5" t="s">
        <v>48</v>
      </c>
      <c r="C7" s="36">
        <v>0</v>
      </c>
      <c r="D7" s="37">
        <v>1</v>
      </c>
      <c r="E7" s="27">
        <v>0</v>
      </c>
      <c r="F7" s="27">
        <v>0</v>
      </c>
      <c r="G7" s="22">
        <f>IF(AND($C7="",$D7=""),0,IF(AND($C7&gt;$D7,E7&gt;F7),'Tabla general'!$L$4,IF(AND($D7&gt;$C7,F7&gt;E7),'Tabla general'!$L$4,IF(AND($C7=$D7,E7=F7),'Tabla general'!$L$4,0))) + IF(AND($C7=E7,$D7=F7),'Tabla general'!$L$5,0))</f>
        <v>0</v>
      </c>
      <c r="H7" s="27">
        <v>2</v>
      </c>
      <c r="I7" s="27">
        <v>1</v>
      </c>
      <c r="J7" s="9">
        <f>IF(AND($C7="",$D7=""),0,IF(AND($C7&gt;$D7,H7&gt;I7),'Tabla general'!$L$4,IF(AND($D7&gt;$C7,I7&gt;H7),'Tabla general'!$L$4,IF(AND($C7=$D7,H7=I7),'Tabla general'!$L$4,0))) + IF(AND($C7=H7,$D7=I7),'Tabla general'!$L$5,0))</f>
        <v>0</v>
      </c>
      <c r="K7" s="29">
        <v>1</v>
      </c>
      <c r="L7" s="27">
        <v>2</v>
      </c>
      <c r="M7" s="7">
        <f>IF(AND($C7="",$D7=""),0,IF(AND($C7&gt;$D7,K7&gt;L7),'Tabla general'!$L$4,IF(AND($D7&gt;$C7,L7&gt;K7),'Tabla general'!$L$4,IF(AND($C7=$D7,K7=L7),'Tabla general'!$L$4,0))) + IF(AND($C7=K7,$D7=L7),'Tabla general'!$L$5,0))</f>
        <v>1</v>
      </c>
      <c r="N7" s="27">
        <v>2</v>
      </c>
      <c r="O7" s="27">
        <v>0</v>
      </c>
      <c r="P7" s="6">
        <f>IF(AND($C7="",$D7=""),0,IF(AND($C7&gt;$D7,N7&gt;O7),'Tabla general'!$L$4,IF(AND($D7&gt;$C7,O7&gt;N7),'Tabla general'!$L$4,IF(AND($C7=$D7,N7=O7),'Tabla general'!$L$4,0))) + IF(AND($C7=N7,$D7=O7),'Tabla general'!$L$5,0))</f>
        <v>0</v>
      </c>
      <c r="Q7" s="27">
        <v>1</v>
      </c>
      <c r="R7" s="27">
        <v>0</v>
      </c>
      <c r="S7" s="8">
        <f>IF(AND($C7="",$D7=""),0,IF(AND($C7&gt;$D7,Q7&gt;R7),'Tabla general'!$L$4,IF(AND($D7&gt;$C7,R7&gt;Q7),'Tabla general'!$L$4,IF(AND($C7=$D7,Q7=R7),'Tabla general'!$L$4,0))) + IF(AND($C7=Q7,$D7=R7),'Tabla general'!$L$5,0))</f>
        <v>0</v>
      </c>
    </row>
    <row r="8" spans="1:19">
      <c r="A8" s="5" t="s">
        <v>51</v>
      </c>
      <c r="B8" s="5" t="s">
        <v>52</v>
      </c>
      <c r="C8" s="36">
        <v>0</v>
      </c>
      <c r="D8" s="37">
        <v>0</v>
      </c>
      <c r="E8" s="27">
        <v>0</v>
      </c>
      <c r="F8" s="27">
        <v>1</v>
      </c>
      <c r="G8" s="22">
        <f>IF(AND($C8="",$D8=""),0,IF(AND($C8&gt;$D8,E8&gt;F8),'Tabla general'!$L$4,IF(AND($D8&gt;$C8,F8&gt;E8),'Tabla general'!$L$4,IF(AND($C8=$D8,E8=F8),'Tabla general'!$L$4,0))) + IF(AND($C8=E8,$D8=F8),'Tabla general'!$L$5,0))</f>
        <v>0</v>
      </c>
      <c r="H8" s="27">
        <v>1</v>
      </c>
      <c r="I8" s="27">
        <v>1</v>
      </c>
      <c r="J8" s="9">
        <f>IF(AND($C8="",$D8=""),0,IF(AND($C8&gt;$D8,H8&gt;I8),'Tabla general'!$L$4,IF(AND($D8&gt;$C8,I8&gt;H8),'Tabla general'!$L$4,IF(AND($C8=$D8,H8=I8),'Tabla general'!$L$4,0))) + IF(AND($C8=H8,$D8=I8),'Tabla general'!$L$5,0))</f>
        <v>1</v>
      </c>
      <c r="K8" s="29">
        <v>0</v>
      </c>
      <c r="L8" s="27">
        <v>1</v>
      </c>
      <c r="M8" s="7">
        <f>IF(AND($C8="",$D8=""),0,IF(AND($C8&gt;$D8,K8&gt;L8),'Tabla general'!$L$4,IF(AND($D8&gt;$C8,L8&gt;K8),'Tabla general'!$L$4,IF(AND($C8=$D8,K8=L8),'Tabla general'!$L$4,0))) + IF(AND($C8=K8,$D8=L8),'Tabla general'!$L$5,0))</f>
        <v>0</v>
      </c>
      <c r="N8" s="27">
        <v>1</v>
      </c>
      <c r="O8" s="27">
        <v>2</v>
      </c>
      <c r="P8" s="6">
        <f>IF(AND($C8="",$D8=""),0,IF(AND($C8&gt;$D8,N8&gt;O8),'Tabla general'!$L$4,IF(AND($D8&gt;$C8,O8&gt;N8),'Tabla general'!$L$4,IF(AND($C8=$D8,N8=O8),'Tabla general'!$L$4,0))) + IF(AND($C8=N8,$D8=O8),'Tabla general'!$L$5,0))</f>
        <v>0</v>
      </c>
      <c r="Q8" s="27">
        <v>1</v>
      </c>
      <c r="R8" s="27">
        <v>2</v>
      </c>
      <c r="S8" s="8">
        <f>IF(AND($C8="",$D8=""),0,IF(AND($C8&gt;$D8,Q8&gt;R8),'Tabla general'!$L$4,IF(AND($D8&gt;$C8,R8&gt;Q8),'Tabla general'!$L$4,IF(AND($C8=$D8,Q8=R8),'Tabla general'!$L$4,0))) + IF(AND($C8=Q8,$D8=R8),'Tabla general'!$L$5,0))</f>
        <v>0</v>
      </c>
    </row>
    <row r="9" spans="1:19">
      <c r="A9" s="5" t="s">
        <v>53</v>
      </c>
      <c r="B9" s="5" t="s">
        <v>50</v>
      </c>
      <c r="C9" s="36">
        <v>0</v>
      </c>
      <c r="D9" s="37">
        <v>3</v>
      </c>
      <c r="E9" s="27">
        <v>0</v>
      </c>
      <c r="F9" s="27">
        <v>1</v>
      </c>
      <c r="G9" s="22">
        <f>IF(AND($C9="",$D9=""),0,IF(AND($C9&gt;$D9,E9&gt;F9),'Tabla general'!$L$4,IF(AND($D9&gt;$C9,F9&gt;E9),'Tabla general'!$L$4,IF(AND($C9=$D9,E9=F9),'Tabla general'!$L$4,0))) + IF(AND($C9=E9,$D9=F9),'Tabla general'!$L$5,0))</f>
        <v>1</v>
      </c>
      <c r="H9" s="27">
        <v>1</v>
      </c>
      <c r="I9" s="27">
        <v>1</v>
      </c>
      <c r="J9" s="9">
        <f>IF(AND($C9="",$D9=""),0,IF(AND($C9&gt;$D9,H9&gt;I9),'Tabla general'!$L$4,IF(AND($D9&gt;$C9,I9&gt;H9),'Tabla general'!$L$4,IF(AND($C9=$D9,H9=I9),'Tabla general'!$L$4,0))) + IF(AND($C9=H9,$D9=I9),'Tabla general'!$L$5,0))</f>
        <v>0</v>
      </c>
      <c r="K9" s="29">
        <v>0</v>
      </c>
      <c r="L9" s="27">
        <v>2</v>
      </c>
      <c r="M9" s="7">
        <f>IF(AND($C9="",$D9=""),0,IF(AND($C9&gt;$D9,K9&gt;L9),'Tabla general'!$L$4,IF(AND($D9&gt;$C9,L9&gt;K9),'Tabla general'!$L$4,IF(AND($C9=$D9,K9=L9),'Tabla general'!$L$4,0))) + IF(AND($C9=K9,$D9=L9),'Tabla general'!$L$5,0))</f>
        <v>1</v>
      </c>
      <c r="N9" s="27">
        <v>0</v>
      </c>
      <c r="O9" s="27">
        <v>2</v>
      </c>
      <c r="P9" s="6">
        <f>IF(AND($C9="",$D9=""),0,IF(AND($C9&gt;$D9,N9&gt;O9),'Tabla general'!$L$4,IF(AND($D9&gt;$C9,O9&gt;N9),'Tabla general'!$L$4,IF(AND($C9=$D9,N9=O9),'Tabla general'!$L$4,0))) + IF(AND($C9=N9,$D9=O9),'Tabla general'!$L$5,0))</f>
        <v>1</v>
      </c>
      <c r="Q9" s="27">
        <v>0</v>
      </c>
      <c r="R9" s="27">
        <v>1</v>
      </c>
      <c r="S9" s="8">
        <f>IF(AND($C9="",$D9=""),0,IF(AND($C9&gt;$D9,Q9&gt;R9),'Tabla general'!$L$4,IF(AND($D9&gt;$C9,R9&gt;Q9),'Tabla general'!$L$4,IF(AND($C9=$D9,Q9=R9),'Tabla general'!$L$4,0))) + IF(AND($C9=Q9,$D9=R9),'Tabla general'!$L$5,0))</f>
        <v>1</v>
      </c>
    </row>
    <row r="10" spans="1:19">
      <c r="A10" s="5" t="s">
        <v>57</v>
      </c>
      <c r="B10" s="5" t="s">
        <v>58</v>
      </c>
      <c r="C10" s="36">
        <v>0</v>
      </c>
      <c r="D10" s="37">
        <v>1</v>
      </c>
      <c r="E10" s="27">
        <v>0</v>
      </c>
      <c r="F10" s="27">
        <v>2</v>
      </c>
      <c r="G10" s="22">
        <f>IF(AND($C10="",$D10=""),0,IF(AND($C10&gt;$D10,E10&gt;F10),'Tabla general'!$L$4,IF(AND($D10&gt;$C10,F10&gt;E10),'Tabla general'!$L$4,IF(AND($C10=$D10,E10=F10),'Tabla general'!$L$4,0))) + IF(AND($C10=E10,$D10=F10),'Tabla general'!$L$5,0))</f>
        <v>1</v>
      </c>
      <c r="H10" s="27">
        <v>1</v>
      </c>
      <c r="I10" s="27">
        <v>3</v>
      </c>
      <c r="J10" s="9">
        <f>IF(AND($C10="",$D10=""),0,IF(AND($C10&gt;$D10,H10&gt;I10),'Tabla general'!$L$4,IF(AND($D10&gt;$C10,I10&gt;H10),'Tabla general'!$L$4,IF(AND($C10=$D10,H10=I10),'Tabla general'!$L$4,0))) + IF(AND($C10=H10,$D10=I10),'Tabla general'!$L$5,0))</f>
        <v>1</v>
      </c>
      <c r="K10" s="29">
        <v>0</v>
      </c>
      <c r="L10" s="27">
        <v>3</v>
      </c>
      <c r="M10" s="7">
        <f>IF(AND($C10="",$D10=""),0,IF(AND($C10&gt;$D10,K10&gt;L10),'Tabla general'!$L$4,IF(AND($D10&gt;$C10,L10&gt;K10),'Tabla general'!$L$4,IF(AND($C10=$D10,K10=L10),'Tabla general'!$L$4,0))) + IF(AND($C10=K10,$D10=L10),'Tabla general'!$L$5,0))</f>
        <v>1</v>
      </c>
      <c r="N10" s="27">
        <v>0</v>
      </c>
      <c r="O10" s="27">
        <v>2</v>
      </c>
      <c r="P10" s="6">
        <f>IF(AND($C10="",$D10=""),0,IF(AND($C10&gt;$D10,N10&gt;O10),'Tabla general'!$L$4,IF(AND($D10&gt;$C10,O10&gt;N10),'Tabla general'!$L$4,IF(AND($C10=$D10,N10=O10),'Tabla general'!$L$4,0))) + IF(AND($C10=N10,$D10=O10),'Tabla general'!$L$5,0))</f>
        <v>1</v>
      </c>
      <c r="Q10" s="27">
        <v>1</v>
      </c>
      <c r="R10" s="27">
        <v>2</v>
      </c>
      <c r="S10" s="8">
        <f>IF(AND($C10="",$D10=""),0,IF(AND($C10&gt;$D10,Q10&gt;R10),'Tabla general'!$L$4,IF(AND($D10&gt;$C10,R10&gt;Q10),'Tabla general'!$L$4,IF(AND($C10=$D10,Q10=R10),'Tabla general'!$L$4,0))) + IF(AND($C10=Q10,$D10=R10),'Tabla general'!$L$5,0))</f>
        <v>1</v>
      </c>
    </row>
    <row r="11" spans="1:19">
      <c r="A11" s="5" t="s">
        <v>59</v>
      </c>
      <c r="B11" s="5" t="s">
        <v>56</v>
      </c>
      <c r="C11" s="36">
        <v>0</v>
      </c>
      <c r="D11" s="37">
        <v>1</v>
      </c>
      <c r="E11" s="27">
        <v>0</v>
      </c>
      <c r="F11" s="27">
        <v>1</v>
      </c>
      <c r="G11" s="22">
        <f>IF(AND($C11="",$D11=""),0,IF(AND($C11&gt;$D11,E11&gt;F11),'Tabla general'!$L$4,IF(AND($D11&gt;$C11,F11&gt;E11),'Tabla general'!$L$4,IF(AND($C11=$D11,E11=F11),'Tabla general'!$L$4,0))) + IF(AND($C11=E11,$D11=F11),'Tabla general'!$L$5,0))</f>
        <v>2</v>
      </c>
      <c r="H11" s="27">
        <v>0</v>
      </c>
      <c r="I11" s="27">
        <v>2</v>
      </c>
      <c r="J11" s="9">
        <f>IF(AND($C11="",$D11=""),0,IF(AND($C11&gt;$D11,H11&gt;I11),'Tabla general'!$L$4,IF(AND($D11&gt;$C11,I11&gt;H11),'Tabla general'!$L$4,IF(AND($C11=$D11,H11=I11),'Tabla general'!$L$4,0))) + IF(AND($C11=H11,$D11=I11),'Tabla general'!$L$5,0))</f>
        <v>1</v>
      </c>
      <c r="K11" s="29">
        <v>0</v>
      </c>
      <c r="L11" s="27">
        <v>1</v>
      </c>
      <c r="M11" s="7">
        <f>IF(AND($C11="",$D11=""),0,IF(AND($C11&gt;$D11,K11&gt;L11),'Tabla general'!$L$4,IF(AND($D11&gt;$C11,L11&gt;K11),'Tabla general'!$L$4,IF(AND($C11=$D11,K11=L11),'Tabla general'!$L$4,0))) + IF(AND($C11=K11,$D11=L11),'Tabla general'!$L$5,0))</f>
        <v>2</v>
      </c>
      <c r="N11" s="27">
        <v>0</v>
      </c>
      <c r="O11" s="27">
        <v>2</v>
      </c>
      <c r="P11" s="6">
        <f>IF(AND($C11="",$D11=""),0,IF(AND($C11&gt;$D11,N11&gt;O11),'Tabla general'!$L$4,IF(AND($D11&gt;$C11,O11&gt;N11),'Tabla general'!$L$4,IF(AND($C11=$D11,N11=O11),'Tabla general'!$L$4,0))) + IF(AND($C11=N11,$D11=O11),'Tabla general'!$L$5,0))</f>
        <v>1</v>
      </c>
      <c r="Q11" s="27">
        <v>0</v>
      </c>
      <c r="R11" s="27">
        <v>1</v>
      </c>
      <c r="S11" s="8">
        <f>IF(AND($C11="",$D11=""),0,IF(AND($C11&gt;$D11,Q11&gt;R11),'Tabla general'!$L$4,IF(AND($D11&gt;$C11,R11&gt;Q11),'Tabla general'!$L$4,IF(AND($C11=$D11,Q11=R11),'Tabla general'!$L$4,0))) + IF(AND($C11=Q11,$D11=R11),'Tabla general'!$L$5,0))</f>
        <v>2</v>
      </c>
    </row>
    <row r="12" spans="1:19">
      <c r="A12" s="5" t="s">
        <v>55</v>
      </c>
      <c r="B12" s="5" t="s">
        <v>60</v>
      </c>
      <c r="C12" s="36">
        <v>2</v>
      </c>
      <c r="D12" s="37">
        <v>1</v>
      </c>
      <c r="E12" s="27">
        <v>0</v>
      </c>
      <c r="F12" s="27">
        <v>2</v>
      </c>
      <c r="G12" s="22">
        <f>IF(AND($C12="",$D12=""),0,IF(AND($C12&gt;$D12,E12&gt;F12),'Tabla general'!$L$4,IF(AND($D12&gt;$C12,F12&gt;E12),'Tabla general'!$L$4,IF(AND($C12=$D12,E12=F12),'Tabla general'!$L$4,0))) + IF(AND($C12=E12,$D12=F12),'Tabla general'!$L$5,0))</f>
        <v>0</v>
      </c>
      <c r="H12" s="27">
        <v>1</v>
      </c>
      <c r="I12" s="27">
        <v>2</v>
      </c>
      <c r="J12" s="9">
        <f>IF(AND($C12="",$D12=""),0,IF(AND($C12&gt;$D12,H12&gt;I12),'Tabla general'!$L$4,IF(AND($D12&gt;$C12,I12&gt;H12),'Tabla general'!$L$4,IF(AND($C12=$D12,H12=I12),'Tabla general'!$L$4,0))) + IF(AND($C12=H12,$D12=I12),'Tabla general'!$L$5,0))</f>
        <v>0</v>
      </c>
      <c r="K12" s="29">
        <v>1</v>
      </c>
      <c r="L12" s="27">
        <v>2</v>
      </c>
      <c r="M12" s="7">
        <f>IF(AND($C12="",$D12=""),0,IF(AND($C12&gt;$D12,K12&gt;L12),'Tabla general'!$L$4,IF(AND($D12&gt;$C12,L12&gt;K12),'Tabla general'!$L$4,IF(AND($C12=$D12,K12=L12),'Tabla general'!$L$4,0))) + IF(AND($C12=K12,$D12=L12),'Tabla general'!$L$5,0))</f>
        <v>0</v>
      </c>
      <c r="N12" s="27">
        <v>1</v>
      </c>
      <c r="O12" s="27">
        <v>1</v>
      </c>
      <c r="P12" s="6">
        <f>IF(AND($C12="",$D12=""),0,IF(AND($C12&gt;$D12,N12&gt;O12),'Tabla general'!$L$4,IF(AND($D12&gt;$C12,O12&gt;N12),'Tabla general'!$L$4,IF(AND($C12=$D12,N12=O12),'Tabla general'!$L$4,0))) + IF(AND($C12=N12,$D12=O12),'Tabla general'!$L$5,0))</f>
        <v>0</v>
      </c>
      <c r="Q12" s="27">
        <v>1</v>
      </c>
      <c r="R12" s="27">
        <v>1</v>
      </c>
      <c r="S12" s="8">
        <f>IF(AND($C12="",$D12=""),0,IF(AND($C12&gt;$D12,Q12&gt;R12),'Tabla general'!$L$4,IF(AND($D12&gt;$C12,R12&gt;Q12),'Tabla general'!$L$4,IF(AND($C12=$D12,Q12=R12),'Tabla general'!$L$4,0))) + IF(AND($C12=Q12,$D12=R12),'Tabla general'!$L$5,0))</f>
        <v>0</v>
      </c>
    </row>
    <row r="13" spans="1:19">
      <c r="A13" s="5" t="s">
        <v>61</v>
      </c>
      <c r="B13" s="5" t="s">
        <v>54</v>
      </c>
      <c r="C13" s="36">
        <v>0</v>
      </c>
      <c r="D13" s="37">
        <v>2</v>
      </c>
      <c r="E13" s="27">
        <v>1</v>
      </c>
      <c r="F13" s="27">
        <v>0</v>
      </c>
      <c r="G13" s="22">
        <f>IF(AND($C13="",$D13=""),0,IF(AND($C13&gt;$D13,E13&gt;F13),'Tabla general'!$L$4,IF(AND($D13&gt;$C13,F13&gt;E13),'Tabla general'!$L$4,IF(AND($C13=$D13,E13=F13),'Tabla general'!$L$4,0))) + IF(AND($C13=E13,$D13=F13),'Tabla general'!$L$5,0))</f>
        <v>0</v>
      </c>
      <c r="H13" s="27">
        <v>1</v>
      </c>
      <c r="I13" s="27">
        <v>2</v>
      </c>
      <c r="J13" s="9">
        <f>IF(AND($C13="",$D13=""),0,IF(AND($C13&gt;$D13,H13&gt;I13),'Tabla general'!$L$4,IF(AND($D13&gt;$C13,I13&gt;H13),'Tabla general'!$L$4,IF(AND($C13=$D13,H13=I13),'Tabla general'!$L$4,0))) + IF(AND($C13=H13,$D13=I13),'Tabla general'!$L$5,0))</f>
        <v>1</v>
      </c>
      <c r="K13" s="29">
        <v>2</v>
      </c>
      <c r="L13" s="27">
        <v>0</v>
      </c>
      <c r="M13" s="7">
        <f>IF(AND($C13="",$D13=""),0,IF(AND($C13&gt;$D13,K13&gt;L13),'Tabla general'!$L$4,IF(AND($D13&gt;$C13,L13&gt;K13),'Tabla general'!$L$4,IF(AND($C13=$D13,K13=L13),'Tabla general'!$L$4,0))) + IF(AND($C13=K13,$D13=L13),'Tabla general'!$L$5,0))</f>
        <v>0</v>
      </c>
      <c r="N13" s="27">
        <v>2</v>
      </c>
      <c r="O13" s="27">
        <v>0</v>
      </c>
      <c r="P13" s="6">
        <f>IF(AND($C13="",$D13=""),0,IF(AND($C13&gt;$D13,N13&gt;O13),'Tabla general'!$L$4,IF(AND($D13&gt;$C13,O13&gt;N13),'Tabla general'!$L$4,IF(AND($C13=$D13,N13=O13),'Tabla general'!$L$4,0))) + IF(AND($C13=N13,$D13=O13),'Tabla general'!$L$5,0))</f>
        <v>0</v>
      </c>
      <c r="Q13" s="27">
        <v>2</v>
      </c>
      <c r="R13" s="27">
        <v>0</v>
      </c>
      <c r="S13" s="8">
        <f>IF(AND($C13="",$D13=""),0,IF(AND($C13&gt;$D13,Q13&gt;R13),'Tabla general'!$L$4,IF(AND($D13&gt;$C13,R13&gt;Q13),'Tabla general'!$L$4,IF(AND($C13=$D13,Q13=R13),'Tabla general'!$L$4,0))) + IF(AND($C13=Q13,$D13=R13),'Tabla general'!$L$5,0))</f>
        <v>0</v>
      </c>
    </row>
    <row r="14" spans="1:19">
      <c r="A14" s="5" t="s">
        <v>69</v>
      </c>
      <c r="B14" s="5" t="s">
        <v>66</v>
      </c>
      <c r="C14" s="36">
        <v>2</v>
      </c>
      <c r="D14" s="37">
        <v>1</v>
      </c>
      <c r="E14" s="27">
        <v>0</v>
      </c>
      <c r="F14" s="27">
        <v>0</v>
      </c>
      <c r="G14" s="22">
        <f>IF(AND($C14="",$D14=""),0,IF(AND($C14&gt;$D14,E14&gt;F14),'Tabla general'!$L$4,IF(AND($D14&gt;$C14,F14&gt;E14),'Tabla general'!$L$4,IF(AND($C14=$D14,E14=F14),'Tabla general'!$L$4,0))) + IF(AND($C14=E14,$D14=F14),'Tabla general'!$L$5,0))</f>
        <v>0</v>
      </c>
      <c r="H14" s="27">
        <v>2</v>
      </c>
      <c r="I14" s="27">
        <v>1</v>
      </c>
      <c r="J14" s="9">
        <f>IF(AND($C14="",$D14=""),0,IF(AND($C14&gt;$D14,H14&gt;I14),'Tabla general'!$L$4,IF(AND($D14&gt;$C14,I14&gt;H14),'Tabla general'!$L$4,IF(AND($C14=$D14,H14=I14),'Tabla general'!$L$4,0))) + IF(AND($C14=H14,$D14=I14),'Tabla general'!$L$5,0))</f>
        <v>2</v>
      </c>
      <c r="K14" s="29">
        <v>2</v>
      </c>
      <c r="L14" s="27">
        <v>1</v>
      </c>
      <c r="M14" s="7">
        <f>IF(AND($C14="",$D14=""),0,IF(AND($C14&gt;$D14,K14&gt;L14),'Tabla general'!$L$4,IF(AND($D14&gt;$C14,L14&gt;K14),'Tabla general'!$L$4,IF(AND($C14=$D14,K14=L14),'Tabla general'!$L$4,0))) + IF(AND($C14=K14,$D14=L14),'Tabla general'!$L$5,0))</f>
        <v>2</v>
      </c>
      <c r="N14" s="27">
        <v>1</v>
      </c>
      <c r="O14" s="27">
        <v>1</v>
      </c>
      <c r="P14" s="6">
        <f>IF(AND($C14="",$D14=""),0,IF(AND($C14&gt;$D14,N14&gt;O14),'Tabla general'!$L$4,IF(AND($D14&gt;$C14,O14&gt;N14),'Tabla general'!$L$4,IF(AND($C14=$D14,N14=O14),'Tabla general'!$L$4,0))) + IF(AND($C14=N14,$D14=O14),'Tabla general'!$L$5,0))</f>
        <v>0</v>
      </c>
      <c r="Q14" s="27">
        <v>1</v>
      </c>
      <c r="R14" s="27">
        <v>0</v>
      </c>
      <c r="S14" s="8">
        <f>IF(AND($C14="",$D14=""),0,IF(AND($C14&gt;$D14,Q14&gt;R14),'Tabla general'!$L$4,IF(AND($D14&gt;$C14,R14&gt;Q14),'Tabla general'!$L$4,IF(AND($C14=$D14,Q14=R14),'Tabla general'!$L$4,0))) + IF(AND($C14=Q14,$D14=R14),'Tabla general'!$L$5,0))</f>
        <v>1</v>
      </c>
    </row>
    <row r="15" spans="1:19">
      <c r="A15" s="5" t="s">
        <v>72</v>
      </c>
      <c r="B15" s="5" t="s">
        <v>68</v>
      </c>
      <c r="C15" s="36">
        <v>3</v>
      </c>
      <c r="D15" s="37">
        <v>3</v>
      </c>
      <c r="E15" s="27">
        <v>0</v>
      </c>
      <c r="F15" s="27">
        <v>1</v>
      </c>
      <c r="G15" s="22">
        <f>IF(AND($C15="",$D15=""),0,IF(AND($C15&gt;$D15,E15&gt;F15),'Tabla general'!$L$4,IF(AND($D15&gt;$C15,F15&gt;E15),'Tabla general'!$L$4,IF(AND($C15=$D15,E15=F15),'Tabla general'!$L$4,0))) + IF(AND($C15=E15,$D15=F15),'Tabla general'!$L$5,0))</f>
        <v>0</v>
      </c>
      <c r="H15" s="27">
        <v>0</v>
      </c>
      <c r="I15" s="27">
        <v>2</v>
      </c>
      <c r="J15" s="9">
        <f>IF(AND($C15="",$D15=""),0,IF(AND($C15&gt;$D15,H15&gt;I15),'Tabla general'!$L$4,IF(AND($D15&gt;$C15,I15&gt;H15),'Tabla general'!$L$4,IF(AND($C15=$D15,H15=I15),'Tabla general'!$L$4,0))) + IF(AND($C15=H15,$D15=I15),'Tabla general'!$L$5,0))</f>
        <v>0</v>
      </c>
      <c r="K15" s="29">
        <v>0</v>
      </c>
      <c r="L15" s="27">
        <v>2</v>
      </c>
      <c r="M15" s="7">
        <f>IF(AND($C15="",$D15=""),0,IF(AND($C15&gt;$D15,K15&gt;L15),'Tabla general'!$L$4,IF(AND($D15&gt;$C15,L15&gt;K15),'Tabla general'!$L$4,IF(AND($C15=$D15,K15=L15),'Tabla general'!$L$4,0))) + IF(AND($C15=K15,$D15=L15),'Tabla general'!$L$5,0))</f>
        <v>0</v>
      </c>
      <c r="N15" s="27">
        <v>1</v>
      </c>
      <c r="O15" s="27">
        <v>2</v>
      </c>
      <c r="P15" s="6">
        <f>IF(AND($C15="",$D15=""),0,IF(AND($C15&gt;$D15,N15&gt;O15),'Tabla general'!$L$4,IF(AND($D15&gt;$C15,O15&gt;N15),'Tabla general'!$L$4,IF(AND($C15=$D15,N15=O15),'Tabla general'!$L$4,0))) + IF(AND($C15=N15,$D15=O15),'Tabla general'!$L$5,0))</f>
        <v>0</v>
      </c>
      <c r="Q15" s="27">
        <v>1</v>
      </c>
      <c r="R15" s="27">
        <v>1</v>
      </c>
      <c r="S15" s="8">
        <f>IF(AND($C15="",$D15=""),0,IF(AND($C15&gt;$D15,Q15&gt;R15),'Tabla general'!$L$4,IF(AND($D15&gt;$C15,R15&gt;Q15),'Tabla general'!$L$4,IF(AND($C15=$D15,Q15=R15),'Tabla general'!$L$4,0))) + IF(AND($C15=Q15,$D15=R15),'Tabla general'!$L$5,0))</f>
        <v>1</v>
      </c>
    </row>
    <row r="16" spans="1:19">
      <c r="A16" s="5" t="s">
        <v>63</v>
      </c>
      <c r="B16" s="5" t="s">
        <v>64</v>
      </c>
      <c r="C16" s="36">
        <v>0</v>
      </c>
      <c r="D16" s="37">
        <v>1</v>
      </c>
      <c r="E16" s="27">
        <v>1</v>
      </c>
      <c r="F16" s="27">
        <v>2</v>
      </c>
      <c r="G16" s="22">
        <f>IF(AND($C16="",$D16=""),0,IF(AND($C16&gt;$D16,E16&gt;F16),'Tabla general'!$L$4,IF(AND($D16&gt;$C16,F16&gt;E16),'Tabla general'!$L$4,IF(AND($C16=$D16,E16=F16),'Tabla general'!$L$4,0))) + IF(AND($C16=E16,$D16=F16),'Tabla general'!$L$5,0))</f>
        <v>1</v>
      </c>
      <c r="H16" s="27">
        <v>1</v>
      </c>
      <c r="I16" s="27">
        <v>3</v>
      </c>
      <c r="J16" s="9">
        <f>IF(AND($C16="",$D16=""),0,IF(AND($C16&gt;$D16,H16&gt;I16),'Tabla general'!$L$4,IF(AND($D16&gt;$C16,I16&gt;H16),'Tabla general'!$L$4,IF(AND($C16=$D16,H16=I16),'Tabla general'!$L$4,0))) + IF(AND($C16=H16,$D16=I16),'Tabla general'!$L$5,0))</f>
        <v>1</v>
      </c>
      <c r="K16" s="29">
        <v>2</v>
      </c>
      <c r="L16" s="27">
        <v>2</v>
      </c>
      <c r="M16" s="7">
        <f>IF(AND($C16="",$D16=""),0,IF(AND($C16&gt;$D16,K16&gt;L16),'Tabla general'!$L$4,IF(AND($D16&gt;$C16,L16&gt;K16),'Tabla general'!$L$4,IF(AND($C16=$D16,K16=L16),'Tabla general'!$L$4,0))) + IF(AND($C16=K16,$D16=L16),'Tabla general'!$L$5,0))</f>
        <v>0</v>
      </c>
      <c r="N16" s="27">
        <v>1</v>
      </c>
      <c r="O16" s="27">
        <v>2</v>
      </c>
      <c r="P16" s="6">
        <f>IF(AND($C16="",$D16=""),0,IF(AND($C16&gt;$D16,N16&gt;O16),'Tabla general'!$L$4,IF(AND($D16&gt;$C16,O16&gt;N16),'Tabla general'!$L$4,IF(AND($C16=$D16,N16=O16),'Tabla general'!$L$4,0))) + IF(AND($C16=N16,$D16=O16),'Tabla general'!$L$5,0))</f>
        <v>1</v>
      </c>
      <c r="Q16" s="27">
        <v>1</v>
      </c>
      <c r="R16" s="27">
        <v>2</v>
      </c>
      <c r="S16" s="8">
        <f>IF(AND($C16="",$D16=""),0,IF(AND($C16&gt;$D16,Q16&gt;R16),'Tabla general'!$L$4,IF(AND($D16&gt;$C16,R16&gt;Q16),'Tabla general'!$L$4,IF(AND($C16=$D16,Q16=R16),'Tabla general'!$L$4,0))) + IF(AND($C16=Q16,$D16=R16),'Tabla general'!$L$5,0))</f>
        <v>1</v>
      </c>
    </row>
    <row r="17" spans="1:19">
      <c r="A17" s="5" t="s">
        <v>65</v>
      </c>
      <c r="B17" s="5" t="s">
        <v>62</v>
      </c>
      <c r="C17" s="36">
        <v>0</v>
      </c>
      <c r="D17" s="37">
        <v>1</v>
      </c>
      <c r="E17" s="27">
        <v>1</v>
      </c>
      <c r="F17" s="27">
        <v>0</v>
      </c>
      <c r="G17" s="22">
        <f>IF(AND($C17="",$D17=""),0,IF(AND($C17&gt;$D17,E17&gt;F17),'Tabla general'!$L$4,IF(AND($D17&gt;$C17,F17&gt;E17),'Tabla general'!$L$4,IF(AND($C17=$D17,E17=F17),'Tabla general'!$L$4,0))) + IF(AND($C17=E17,$D17=F17),'Tabla general'!$L$5,0))</f>
        <v>0</v>
      </c>
      <c r="H17" s="27">
        <v>2</v>
      </c>
      <c r="I17" s="27">
        <v>1</v>
      </c>
      <c r="J17" s="9">
        <f>IF(AND($C17="",$D17=""),0,IF(AND($C17&gt;$D17,H17&gt;I17),'Tabla general'!$L$4,IF(AND($D17&gt;$C17,I17&gt;H17),'Tabla general'!$L$4,IF(AND($C17=$D17,H17=I17),'Tabla general'!$L$4,0))) + IF(AND($C17=H17,$D17=I17),'Tabla general'!$L$5,0))</f>
        <v>0</v>
      </c>
      <c r="K17" s="29">
        <v>2</v>
      </c>
      <c r="L17" s="27">
        <v>0</v>
      </c>
      <c r="M17" s="7">
        <f>IF(AND($C17="",$D17=""),0,IF(AND($C17&gt;$D17,K17&gt;L17),'Tabla general'!$L$4,IF(AND($D17&gt;$C17,L17&gt;K17),'Tabla general'!$L$4,IF(AND($C17=$D17,K17=L17),'Tabla general'!$L$4,0))) + IF(AND($C17=K17,$D17=L17),'Tabla general'!$L$5,0))</f>
        <v>0</v>
      </c>
      <c r="N17" s="27">
        <v>1</v>
      </c>
      <c r="O17" s="27">
        <v>0</v>
      </c>
      <c r="P17" s="6">
        <f>IF(AND($C17="",$D17=""),0,IF(AND($C17&gt;$D17,N17&gt;O17),'Tabla general'!$L$4,IF(AND($D17&gt;$C17,O17&gt;N17),'Tabla general'!$L$4,IF(AND($C17=$D17,N17=O17),'Tabla general'!$L$4,0))) + IF(AND($C17=N17,$D17=O17),'Tabla general'!$L$5,0))</f>
        <v>0</v>
      </c>
      <c r="Q17" s="27">
        <v>2</v>
      </c>
      <c r="R17" s="27">
        <v>0</v>
      </c>
      <c r="S17" s="8">
        <f>IF(AND($C17="",$D17=""),0,IF(AND($C17&gt;$D17,Q17&gt;R17),'Tabla general'!$L$4,IF(AND($D17&gt;$C17,R17&gt;Q17),'Tabla general'!$L$4,IF(AND($C17=$D17,Q17=R17),'Tabla general'!$L$4,0))) + IF(AND($C17=Q17,$D17=R17),'Tabla general'!$L$5,0))</f>
        <v>0</v>
      </c>
    </row>
    <row r="18" spans="1:19">
      <c r="A18" s="5"/>
      <c r="B18" s="5"/>
      <c r="C18" s="5"/>
      <c r="D18" s="5"/>
      <c r="E18" s="46" t="s">
        <v>70</v>
      </c>
      <c r="F18" s="47"/>
      <c r="G18" s="17">
        <f>SUM(G$6:G$17,G$4)</f>
        <v>5</v>
      </c>
      <c r="H18" s="11"/>
      <c r="I18" s="11"/>
      <c r="J18" s="5">
        <f>SUM(J$6:J$17,J$4)</f>
        <v>7</v>
      </c>
      <c r="K18" s="24"/>
      <c r="L18" s="5"/>
      <c r="M18" s="5">
        <f>SUM(M$6:M$17,M$4)</f>
        <v>8</v>
      </c>
      <c r="N18" s="5"/>
      <c r="O18" s="5"/>
      <c r="P18" s="5">
        <f>SUM(P$6:P$17,P$4)</f>
        <v>5</v>
      </c>
      <c r="Q18" s="5"/>
      <c r="R18" s="5"/>
      <c r="S18" s="5">
        <f>SUM(S$6:S$17,S$4)</f>
        <v>7</v>
      </c>
    </row>
  </sheetData>
  <sheetProtection sheet="1" objects="1" scenarios="1"/>
  <mergeCells count="25">
    <mergeCell ref="Q4:R4"/>
    <mergeCell ref="E18:F18"/>
    <mergeCell ref="N5:O5"/>
    <mergeCell ref="Q5:R5"/>
    <mergeCell ref="C4:D4"/>
    <mergeCell ref="E4:F4"/>
    <mergeCell ref="H4:I4"/>
    <mergeCell ref="K4:L4"/>
    <mergeCell ref="N4:O4"/>
    <mergeCell ref="A5:B5"/>
    <mergeCell ref="C5:D5"/>
    <mergeCell ref="E5:F5"/>
    <mergeCell ref="H5:I5"/>
    <mergeCell ref="K5:L5"/>
    <mergeCell ref="H2:J2"/>
    <mergeCell ref="K2:M2"/>
    <mergeCell ref="N2:P2"/>
    <mergeCell ref="Q2:S2"/>
    <mergeCell ref="C3:D3"/>
    <mergeCell ref="E3:F3"/>
    <mergeCell ref="H3:I3"/>
    <mergeCell ref="K3:L3"/>
    <mergeCell ref="N3:O3"/>
    <mergeCell ref="E2:G2"/>
    <mergeCell ref="Q3:R3"/>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autoPageBreaks="0"/>
  </sheetPr>
  <dimension ref="A1:S14"/>
  <sheetViews>
    <sheetView workbookViewId="0">
      <selection activeCell="D14" sqref="D14"/>
    </sheetView>
  </sheetViews>
  <sheetFormatPr defaultColWidth="11.42578125" defaultRowHeight="15"/>
  <cols>
    <col min="1" max="1" width="19.42578125" customWidth="1"/>
    <col min="2" max="2" width="18.140625" bestFit="1" customWidth="1"/>
  </cols>
  <sheetData>
    <row r="1" spans="1:19">
      <c r="A1" s="34" t="s">
        <v>74</v>
      </c>
      <c r="B1" s="5"/>
      <c r="C1" s="5"/>
      <c r="D1" s="5"/>
      <c r="E1" s="10"/>
      <c r="F1" s="10"/>
      <c r="G1" s="10"/>
      <c r="H1" s="10"/>
      <c r="I1" s="10"/>
      <c r="J1" s="10"/>
      <c r="K1" s="5"/>
      <c r="L1" s="5"/>
      <c r="M1" s="5"/>
      <c r="N1" s="5"/>
      <c r="O1" s="5"/>
      <c r="P1" s="5"/>
      <c r="Q1" s="5"/>
      <c r="R1" s="5"/>
      <c r="S1" s="5"/>
    </row>
    <row r="2" spans="1:19">
      <c r="A2" s="5"/>
      <c r="B2" s="5" t="s">
        <v>39</v>
      </c>
      <c r="C2" s="5"/>
      <c r="D2" s="16"/>
      <c r="E2" s="48">
        <v>1</v>
      </c>
      <c r="F2" s="49"/>
      <c r="G2" s="50"/>
      <c r="H2" s="51">
        <v>2</v>
      </c>
      <c r="I2" s="52"/>
      <c r="J2" s="53"/>
      <c r="K2" s="54">
        <v>3</v>
      </c>
      <c r="L2" s="55"/>
      <c r="M2" s="56"/>
      <c r="N2" s="57">
        <v>4</v>
      </c>
      <c r="O2" s="58"/>
      <c r="P2" s="59"/>
      <c r="Q2" s="60">
        <v>5</v>
      </c>
      <c r="R2" s="61"/>
      <c r="S2" s="62"/>
    </row>
    <row r="3" spans="1:19">
      <c r="A3" s="5"/>
      <c r="B3" s="5" t="s">
        <v>40</v>
      </c>
      <c r="C3" s="74" t="s">
        <v>41</v>
      </c>
      <c r="D3" s="75"/>
      <c r="E3" s="76" t="str">
        <f>VLOOKUP(E$2,[0]!participantes,2)</f>
        <v>Carlos Ruíz</v>
      </c>
      <c r="F3" s="76"/>
      <c r="G3" s="39" t="s">
        <v>34</v>
      </c>
      <c r="H3" s="51" t="str">
        <f>VLOOKUP(H$2,[0]!participantes,2)</f>
        <v>Javier Ruíz</v>
      </c>
      <c r="I3" s="52"/>
      <c r="J3" s="30" t="s">
        <v>34</v>
      </c>
      <c r="K3" s="54" t="str">
        <f>VLOOKUP(K$2,[0]!participantes,2)</f>
        <v>Jair Salomón</v>
      </c>
      <c r="L3" s="55"/>
      <c r="M3" s="31" t="s">
        <v>34</v>
      </c>
      <c r="N3" s="57" t="str">
        <f>VLOOKUP(N$2,[0]!participantes,2)</f>
        <v>Kevin Salomón</v>
      </c>
      <c r="O3" s="58"/>
      <c r="P3" s="32" t="s">
        <v>34</v>
      </c>
      <c r="Q3" s="60" t="str">
        <f>VLOOKUP(Q$2,[0]!participantes,2)</f>
        <v>Roberto Ruíz</v>
      </c>
      <c r="R3" s="61"/>
      <c r="S3" s="33" t="s">
        <v>34</v>
      </c>
    </row>
    <row r="4" spans="1:19" ht="15.75" thickBot="1">
      <c r="A4" s="10"/>
      <c r="B4" s="10" t="s">
        <v>42</v>
      </c>
      <c r="C4" s="79">
        <f>SUM(C6:D13)</f>
        <v>19</v>
      </c>
      <c r="D4" s="80"/>
      <c r="E4" s="69">
        <f>SUM(E6:F13)</f>
        <v>19</v>
      </c>
      <c r="F4" s="70"/>
      <c r="G4" s="18">
        <f>IF(E4=$C$4,'Tabla general'!$L$6,0)</f>
        <v>3</v>
      </c>
      <c r="H4" s="71">
        <f>SUM(H6:I13)</f>
        <v>20</v>
      </c>
      <c r="I4" s="71"/>
      <c r="J4" s="25">
        <f>IF(H4=$C$4,'Tabla general'!$L$6,0)</f>
        <v>0</v>
      </c>
      <c r="K4" s="72">
        <f>SUM(K6:L13)</f>
        <v>23</v>
      </c>
      <c r="L4" s="70"/>
      <c r="M4" s="19">
        <f>IF(K4=$C$4,'Tabla general'!$L$6,0)</f>
        <v>0</v>
      </c>
      <c r="N4" s="69">
        <f>SUM(N6:O13)</f>
        <v>15</v>
      </c>
      <c r="O4" s="70"/>
      <c r="P4" s="20">
        <f>IF(N4=$C$4,'Tabla general'!$L$6,0)</f>
        <v>0</v>
      </c>
      <c r="Q4" s="69">
        <f>SUM(Q6:R13)</f>
        <v>19</v>
      </c>
      <c r="R4" s="70"/>
      <c r="S4" s="21">
        <f>IF(Q4=$C$4,'Tabla general'!$L$6,0)</f>
        <v>3</v>
      </c>
    </row>
    <row r="5" spans="1:19" s="23" customFormat="1" ht="15.75" thickBot="1">
      <c r="A5" s="73" t="s">
        <v>43</v>
      </c>
      <c r="B5" s="73"/>
      <c r="C5" s="74" t="s">
        <v>44</v>
      </c>
      <c r="D5" s="75"/>
      <c r="E5" s="64" t="s">
        <v>45</v>
      </c>
      <c r="F5" s="64"/>
      <c r="G5" s="41" t="s">
        <v>34</v>
      </c>
      <c r="H5" s="65" t="s">
        <v>45</v>
      </c>
      <c r="I5" s="65"/>
      <c r="J5" s="42" t="s">
        <v>34</v>
      </c>
      <c r="K5" s="66" t="s">
        <v>45</v>
      </c>
      <c r="L5" s="67"/>
      <c r="M5" s="43" t="s">
        <v>34</v>
      </c>
      <c r="N5" s="68" t="s">
        <v>45</v>
      </c>
      <c r="O5" s="68"/>
      <c r="P5" s="44" t="s">
        <v>34</v>
      </c>
      <c r="Q5" s="63" t="s">
        <v>45</v>
      </c>
      <c r="R5" s="63"/>
      <c r="S5" s="40" t="s">
        <v>34</v>
      </c>
    </row>
    <row r="6" spans="1:19">
      <c r="A6" s="5" t="s">
        <v>49</v>
      </c>
      <c r="B6" s="5" t="s">
        <v>56</v>
      </c>
      <c r="C6" s="36">
        <v>1</v>
      </c>
      <c r="D6" s="37">
        <v>1</v>
      </c>
      <c r="E6" s="26">
        <v>0</v>
      </c>
      <c r="F6" s="26">
        <v>2</v>
      </c>
      <c r="G6" s="22">
        <f>IF(AND($C6="",$D6=""),0,IF(AND($C6&gt;$D6,E6&gt;F6),'Tabla general'!$L$4,IF(AND($D6&gt;$C6,F6&gt;E6),'Tabla general'!$L$4,IF(AND($C6=$D6,E6=F6),'Tabla general'!$L$4,0))) + IF(AND($C6=E6,$D6=F6),'Tabla general'!$L$5,0))</f>
        <v>0</v>
      </c>
      <c r="H6" s="26">
        <v>1</v>
      </c>
      <c r="I6" s="26">
        <v>2</v>
      </c>
      <c r="J6" s="12">
        <f>IF(AND($C6="",$D6=""),0,IF(AND($C6&gt;$D6,H6&gt;I6),'Tabla general'!$L$4,IF(AND($D6&gt;$C6,I6&gt;H6),'Tabla general'!$L$4,IF(AND($C6=$D6,H6=I6),'Tabla general'!$L$4,0))) + IF(AND($C6=H6,$D6=I6),'Tabla general'!$L$5,0))</f>
        <v>0</v>
      </c>
      <c r="K6" s="28">
        <v>1</v>
      </c>
      <c r="L6" s="26">
        <v>2</v>
      </c>
      <c r="M6" s="13">
        <f>IF(AND($C6="",$D6=""),0,IF(AND($C6&gt;$D6,K6&gt;L6),'Tabla general'!$L$4,IF(AND($D6&gt;$C6,L6&gt;K6),'Tabla general'!$L$4,IF(AND($C6=$D6,K6=L6),'Tabla general'!$L$4,0))) + IF(AND($C6=K6,$D6=L6),'Tabla general'!$L$5,0))</f>
        <v>0</v>
      </c>
      <c r="N6" s="26">
        <v>1</v>
      </c>
      <c r="O6" s="26">
        <v>1</v>
      </c>
      <c r="P6" s="14">
        <f>IF(AND($C6="",$D6=""),0,IF(AND($C6&gt;$D6,N6&gt;O6),'Tabla general'!$L$4,IF(AND($D6&gt;$C6,O6&gt;N6),'Tabla general'!$L$4,IF(AND($C6=$D6,N6=O6),'Tabla general'!$L$4,0))) + IF(AND($C6=N6,$D6=O6),'Tabla general'!$L$5,0))</f>
        <v>2</v>
      </c>
      <c r="Q6" s="26">
        <v>1</v>
      </c>
      <c r="R6" s="26">
        <v>1</v>
      </c>
      <c r="S6" s="15">
        <f>IF(AND($C6="",$D6=""),0,IF(AND($C6&gt;$D6,Q6&gt;R6),'Tabla general'!$L$4,IF(AND($D6&gt;$C6,R6&gt;Q6),'Tabla general'!$L$4,IF(AND($C6=$D6,Q6=R6),'Tabla general'!$L$4,0))) + IF(AND($C6=Q6,$D6=R6),'Tabla general'!$L$5,0))</f>
        <v>2</v>
      </c>
    </row>
    <row r="7" spans="1:19">
      <c r="A7" s="5" t="s">
        <v>50</v>
      </c>
      <c r="B7" s="5" t="s">
        <v>75</v>
      </c>
      <c r="C7" s="36">
        <v>1</v>
      </c>
      <c r="D7" s="37">
        <v>0</v>
      </c>
      <c r="E7" s="27">
        <v>2</v>
      </c>
      <c r="F7" s="27">
        <v>1</v>
      </c>
      <c r="G7" s="22">
        <f>IF(AND($C7="",$D7=""),0,IF(AND($C7&gt;$D7,E7&gt;F7),'Tabla general'!$L$4,IF(AND($D7&gt;$C7,F7&gt;E7),'Tabla general'!$L$4,IF(AND($C7=$D7,E7=F7),'Tabla general'!$L$4,0))) + IF(AND($C7=E7,$D7=F7),'Tabla general'!$L$5,0))</f>
        <v>1</v>
      </c>
      <c r="H7" s="27">
        <v>1</v>
      </c>
      <c r="I7" s="27">
        <v>0</v>
      </c>
      <c r="J7" s="9">
        <f>IF(AND($C7="",$D7=""),0,IF(AND($C7&gt;$D7,H7&gt;I7),'Tabla general'!$L$4,IF(AND($D7&gt;$C7,I7&gt;H7),'Tabla general'!$L$4,IF(AND($C7=$D7,H7=I7),'Tabla general'!$L$4,0))) + IF(AND($C7=H7,$D7=I7),'Tabla general'!$L$5,0))</f>
        <v>2</v>
      </c>
      <c r="K7" s="29">
        <v>2</v>
      </c>
      <c r="L7" s="27">
        <v>0</v>
      </c>
      <c r="M7" s="7">
        <f>IF(AND($C7="",$D7=""),0,IF(AND($C7&gt;$D7,K7&gt;L7),'Tabla general'!$L$4,IF(AND($D7&gt;$C7,L7&gt;K7),'Tabla general'!$L$4,IF(AND($C7=$D7,K7=L7),'Tabla general'!$L$4,0))) + IF(AND($C7=K7,$D7=L7),'Tabla general'!$L$5,0))</f>
        <v>1</v>
      </c>
      <c r="N7" s="27">
        <v>2</v>
      </c>
      <c r="O7" s="27">
        <v>0</v>
      </c>
      <c r="P7" s="6">
        <f>IF(AND($C7="",$D7=""),0,IF(AND($C7&gt;$D7,N7&gt;O7),'Tabla general'!$L$4,IF(AND($D7&gt;$C7,O7&gt;N7),'Tabla general'!$L$4,IF(AND($C7=$D7,N7=O7),'Tabla general'!$L$4,0))) + IF(AND($C7=N7,$D7=O7),'Tabla general'!$L$5,0))</f>
        <v>1</v>
      </c>
      <c r="Q7" s="27">
        <v>2</v>
      </c>
      <c r="R7" s="27">
        <v>1</v>
      </c>
      <c r="S7" s="8">
        <f>IF(AND($C7="",$D7=""),0,IF(AND($C7&gt;$D7,Q7&gt;R7),'Tabla general'!$L$4,IF(AND($D7&gt;$C7,R7&gt;Q7),'Tabla general'!$L$4,IF(AND($C7=$D7,Q7=R7),'Tabla general'!$L$4,0))) + IF(AND($C7=Q7,$D7=R7),'Tabla general'!$L$5,0))</f>
        <v>1</v>
      </c>
    </row>
    <row r="8" spans="1:19">
      <c r="A8" s="5" t="s">
        <v>55</v>
      </c>
      <c r="B8" s="5" t="s">
        <v>68</v>
      </c>
      <c r="C8" s="36">
        <v>0</v>
      </c>
      <c r="D8" s="37">
        <v>1</v>
      </c>
      <c r="E8" s="27">
        <v>1</v>
      </c>
      <c r="F8" s="27">
        <v>2</v>
      </c>
      <c r="G8" s="22">
        <f>IF(AND($C8="",$D8=""),0,IF(AND($C8&gt;$D8,E8&gt;F8),'Tabla general'!$L$4,IF(AND($D8&gt;$C8,F8&gt;E8),'Tabla general'!$L$4,IF(AND($C8=$D8,E8=F8),'Tabla general'!$L$4,0))) + IF(AND($C8=E8,$D8=F8),'Tabla general'!$L$5,0))</f>
        <v>1</v>
      </c>
      <c r="H8" s="27">
        <v>1</v>
      </c>
      <c r="I8" s="27">
        <v>1</v>
      </c>
      <c r="J8" s="9">
        <f>IF(AND($C8="",$D8=""),0,IF(AND($C8&gt;$D8,H8&gt;I8),'Tabla general'!$L$4,IF(AND($D8&gt;$C8,I8&gt;H8),'Tabla general'!$L$4,IF(AND($C8=$D8,H8=I8),'Tabla general'!$L$4,0))) + IF(AND($C8=H8,$D8=I8),'Tabla general'!$L$5,0))</f>
        <v>0</v>
      </c>
      <c r="K8" s="29">
        <v>2</v>
      </c>
      <c r="L8" s="27">
        <v>2</v>
      </c>
      <c r="M8" s="7">
        <f>IF(AND($C8="",$D8=""),0,IF(AND($C8&gt;$D8,K8&gt;L8),'Tabla general'!$L$4,IF(AND($D8&gt;$C8,L8&gt;K8),'Tabla general'!$L$4,IF(AND($C8=$D8,K8=L8),'Tabla general'!$L$4,0))) + IF(AND($C8=K8,$D8=L8),'Tabla general'!$L$5,0))</f>
        <v>0</v>
      </c>
      <c r="N8" s="27">
        <v>2</v>
      </c>
      <c r="O8" s="27">
        <v>1</v>
      </c>
      <c r="P8" s="6">
        <f>IF(AND($C8="",$D8=""),0,IF(AND($C8&gt;$D8,N8&gt;O8),'Tabla general'!$L$4,IF(AND($D8&gt;$C8,O8&gt;N8),'Tabla general'!$L$4,IF(AND($C8=$D8,N8=O8),'Tabla general'!$L$4,0))) + IF(AND($C8=N8,$D8=O8),'Tabla general'!$L$5,0))</f>
        <v>0</v>
      </c>
      <c r="Q8" s="27">
        <v>2</v>
      </c>
      <c r="R8" s="27">
        <v>1</v>
      </c>
      <c r="S8" s="8">
        <f>IF(AND($C8="",$D8=""),0,IF(AND($C8&gt;$D8,Q8&gt;R8),'Tabla general'!$L$4,IF(AND($D8&gt;$C8,R8&gt;Q8),'Tabla general'!$L$4,IF(AND($C8=$D8,Q8=R8),'Tabla general'!$L$4,0))) + IF(AND($C8=Q8,$D8=R8),'Tabla general'!$L$5,0))</f>
        <v>0</v>
      </c>
    </row>
    <row r="9" spans="1:19">
      <c r="A9" s="11" t="s">
        <v>46</v>
      </c>
      <c r="B9" s="11" t="s">
        <v>62</v>
      </c>
      <c r="C9" s="36">
        <v>2</v>
      </c>
      <c r="D9" s="37">
        <v>1</v>
      </c>
      <c r="E9" s="27">
        <v>2</v>
      </c>
      <c r="F9" s="27">
        <v>0</v>
      </c>
      <c r="G9" s="22">
        <f>IF(AND($C9="",$D9=""),0,IF(AND($C9&gt;$D9,E9&gt;F9),'Tabla general'!$L$4,IF(AND($D9&gt;$C9,F9&gt;E9),'Tabla general'!$L$4,IF(AND($C9=$D9,E9=F9),'Tabla general'!$L$4,0))) + IF(AND($C9=E9,$D9=F9),'Tabla general'!$L$5,0))</f>
        <v>1</v>
      </c>
      <c r="H9" s="27">
        <v>2</v>
      </c>
      <c r="I9" s="27">
        <v>0</v>
      </c>
      <c r="J9" s="9">
        <f>IF(AND($C9="",$D9=""),0,IF(AND($C9&gt;$D9,H9&gt;I9),'Tabla general'!$L$4,IF(AND($D9&gt;$C9,I9&gt;H9),'Tabla general'!$L$4,IF(AND($C9=$D9,H9=I9),'Tabla general'!$L$4,0))) + IF(AND($C9=H9,$D9=I9),'Tabla general'!$L$5,0))</f>
        <v>1</v>
      </c>
      <c r="K9" s="29">
        <v>2</v>
      </c>
      <c r="L9" s="27">
        <v>0</v>
      </c>
      <c r="M9" s="7">
        <f>IF(AND($C9="",$D9=""),0,IF(AND($C9&gt;$D9,K9&gt;L9),'Tabla general'!$L$4,IF(AND($D9&gt;$C9,L9&gt;K9),'Tabla general'!$L$4,IF(AND($C9=$D9,K9=L9),'Tabla general'!$L$4,0))) + IF(AND($C9=K9,$D9=L9),'Tabla general'!$L$5,0))</f>
        <v>1</v>
      </c>
      <c r="N9" s="27">
        <v>2</v>
      </c>
      <c r="O9" s="27">
        <v>0</v>
      </c>
      <c r="P9" s="6">
        <f>IF(AND($C9="",$D9=""),0,IF(AND($C9&gt;$D9,N9&gt;O9),'Tabla general'!$L$4,IF(AND($D9&gt;$C9,O9&gt;N9),'Tabla general'!$L$4,IF(AND($C9=$D9,N9=O9),'Tabla general'!$L$4,0))) + IF(AND($C9=N9,$D9=O9),'Tabla general'!$L$5,0))</f>
        <v>1</v>
      </c>
      <c r="Q9" s="27">
        <v>1</v>
      </c>
      <c r="R9" s="27">
        <v>0</v>
      </c>
      <c r="S9" s="8">
        <f>IF(AND($C9="",$D9=""),0,IF(AND($C9&gt;$D9,Q9&gt;R9),'Tabla general'!$L$4,IF(AND($D9&gt;$C9,R9&gt;Q9),'Tabla general'!$L$4,IF(AND($C9=$D9,Q9=R9),'Tabla general'!$L$4,0))) + IF(AND($C9=Q9,$D9=R9),'Tabla general'!$L$5,0))</f>
        <v>1</v>
      </c>
    </row>
    <row r="10" spans="1:19">
      <c r="A10" s="5" t="s">
        <v>58</v>
      </c>
      <c r="B10" s="5" t="s">
        <v>51</v>
      </c>
      <c r="C10" s="36">
        <v>3</v>
      </c>
      <c r="D10" s="37">
        <v>0</v>
      </c>
      <c r="E10" s="27">
        <v>2</v>
      </c>
      <c r="F10" s="27">
        <v>1</v>
      </c>
      <c r="G10" s="22">
        <f>IF(AND($C10="",$D10=""),0,IF(AND($C10&gt;$D10,E10&gt;F10),'Tabla general'!$L$4,IF(AND($D10&gt;$C10,F10&gt;E10),'Tabla general'!$L$4,IF(AND($C10=$D10,E10=F10),'Tabla general'!$L$4,0))) + IF(AND($C10=E10,$D10=F10),'Tabla general'!$L$5,0))</f>
        <v>1</v>
      </c>
      <c r="H10" s="27">
        <v>2</v>
      </c>
      <c r="I10" s="27">
        <v>1</v>
      </c>
      <c r="J10" s="9">
        <f>IF(AND($C10="",$D10=""),0,IF(AND($C10&gt;$D10,H10&gt;I10),'Tabla general'!$L$4,IF(AND($D10&gt;$C10,I10&gt;H10),'Tabla general'!$L$4,IF(AND($C10=$D10,H10=I10),'Tabla general'!$L$4,0))) + IF(AND($C10=H10,$D10=I10),'Tabla general'!$L$5,0))</f>
        <v>1</v>
      </c>
      <c r="K10" s="29">
        <v>3</v>
      </c>
      <c r="L10" s="27">
        <v>1</v>
      </c>
      <c r="M10" s="7">
        <f>IF(AND($C10="",$D10=""),0,IF(AND($C10&gt;$D10,K10&gt;L10),'Tabla general'!$L$4,IF(AND($D10&gt;$C10,L10&gt;K10),'Tabla general'!$L$4,IF(AND($C10=$D10,K10=L10),'Tabla general'!$L$4,0))) + IF(AND($C10=K10,$D10=L10),'Tabla general'!$L$5,0))</f>
        <v>1</v>
      </c>
      <c r="N10" s="27">
        <v>2</v>
      </c>
      <c r="O10" s="27">
        <v>0</v>
      </c>
      <c r="P10" s="6">
        <f>IF(AND($C10="",$D10=""),0,IF(AND($C10&gt;$D10,N10&gt;O10),'Tabla general'!$L$4,IF(AND($D10&gt;$C10,O10&gt;N10),'Tabla general'!$L$4,IF(AND($C10=$D10,N10=O10),'Tabla general'!$L$4,0))) + IF(AND($C10=N10,$D10=O10),'Tabla general'!$L$5,0))</f>
        <v>1</v>
      </c>
      <c r="Q10" s="27">
        <v>2</v>
      </c>
      <c r="R10" s="27">
        <v>0</v>
      </c>
      <c r="S10" s="8">
        <f>IF(AND($C10="",$D10=""),0,IF(AND($C10&gt;$D10,Q10&gt;R10),'Tabla general'!$L$4,IF(AND($D10&gt;$C10,R10&gt;Q10),'Tabla general'!$L$4,IF(AND($C10=$D10,Q10=R10),'Tabla general'!$L$4,0))) + IF(AND($C10=Q10,$D10=R10),'Tabla general'!$L$5,0))</f>
        <v>1</v>
      </c>
    </row>
    <row r="11" spans="1:19">
      <c r="A11" s="5" t="s">
        <v>67</v>
      </c>
      <c r="B11" s="5" t="s">
        <v>76</v>
      </c>
      <c r="C11" s="36">
        <v>0</v>
      </c>
      <c r="D11" s="37">
        <v>4</v>
      </c>
      <c r="E11" s="27">
        <v>1</v>
      </c>
      <c r="F11" s="27">
        <v>1</v>
      </c>
      <c r="G11" s="22">
        <f>IF(AND($C11="",$D11=""),0,IF(AND($C11&gt;$D11,E11&gt;F11),'Tabla general'!$L$4,IF(AND($D11&gt;$C11,F11&gt;E11),'Tabla general'!$L$4,IF(AND($C11=$D11,E11=F11),'Tabla general'!$L$4,0))) + IF(AND($C11=E11,$D11=F11),'Tabla general'!$L$5,0))</f>
        <v>0</v>
      </c>
      <c r="H11" s="27">
        <v>1</v>
      </c>
      <c r="I11" s="27">
        <v>2</v>
      </c>
      <c r="J11" s="9">
        <f>IF(AND($C11="",$D11=""),0,IF(AND($C11&gt;$D11,H11&gt;I11),'Tabla general'!$L$4,IF(AND($D11&gt;$C11,I11&gt;H11),'Tabla general'!$L$4,IF(AND($C11=$D11,H11=I11),'Tabla general'!$L$4,0))) + IF(AND($C11=H11,$D11=I11),'Tabla general'!$L$5,0))</f>
        <v>1</v>
      </c>
      <c r="K11" s="29">
        <v>1</v>
      </c>
      <c r="L11" s="27">
        <v>2</v>
      </c>
      <c r="M11" s="7">
        <f>IF(AND($C11="",$D11=""),0,IF(AND($C11&gt;$D11,K11&gt;L11),'Tabla general'!$L$4,IF(AND($D11&gt;$C11,L11&gt;K11),'Tabla general'!$L$4,IF(AND($C11=$D11,K11=L11),'Tabla general'!$L$4,0))) + IF(AND($C11=K11,$D11=L11),'Tabla general'!$L$5,0))</f>
        <v>1</v>
      </c>
      <c r="N11" s="27">
        <v>0</v>
      </c>
      <c r="O11" s="27">
        <v>1</v>
      </c>
      <c r="P11" s="6">
        <f>IF(AND($C11="",$D11=""),0,IF(AND($C11&gt;$D11,N11&gt;O11),'Tabla general'!$L$4,IF(AND($D11&gt;$C11,O11&gt;N11),'Tabla general'!$L$4,IF(AND($C11=$D11,N11=O11),'Tabla general'!$L$4,0))) + IF(AND($C11=N11,$D11=O11),'Tabla general'!$L$5,0))</f>
        <v>1</v>
      </c>
      <c r="Q11" s="27">
        <v>1</v>
      </c>
      <c r="R11" s="27">
        <v>2</v>
      </c>
      <c r="S11" s="8">
        <f>IF(AND($C11="",$D11=""),0,IF(AND($C11&gt;$D11,Q11&gt;R11),'Tabla general'!$L$4,IF(AND($D11&gt;$C11,R11&gt;Q11),'Tabla general'!$L$4,IF(AND($C11=$D11,Q11=R11),'Tabla general'!$L$4,0))) + IF(AND($C11=Q11,$D11=R11),'Tabla general'!$L$5,0))</f>
        <v>1</v>
      </c>
    </row>
    <row r="12" spans="1:19">
      <c r="A12" s="5" t="s">
        <v>65</v>
      </c>
      <c r="B12" s="5" t="s">
        <v>60</v>
      </c>
      <c r="C12" s="36">
        <v>2</v>
      </c>
      <c r="D12" s="37">
        <v>0</v>
      </c>
      <c r="E12" s="27">
        <v>1</v>
      </c>
      <c r="F12" s="27">
        <v>1</v>
      </c>
      <c r="G12" s="22">
        <f>IF(AND($C12="",$D12=""),0,IF(AND($C12&gt;$D12,E12&gt;F12),'Tabla general'!$L$4,IF(AND($D12&gt;$C12,F12&gt;E12),'Tabla general'!$L$4,IF(AND($C12=$D12,E12=F12),'Tabla general'!$L$4,0))) + IF(AND($C12=E12,$D12=F12),'Tabla general'!$L$5,0))</f>
        <v>0</v>
      </c>
      <c r="H12" s="27">
        <v>2</v>
      </c>
      <c r="I12" s="27">
        <v>2</v>
      </c>
      <c r="J12" s="9">
        <f>IF(AND($C12="",$D12=""),0,IF(AND($C12&gt;$D12,H12&gt;I12),'Tabla general'!$L$4,IF(AND($D12&gt;$C12,I12&gt;H12),'Tabla general'!$L$4,IF(AND($C12=$D12,H12=I12),'Tabla general'!$L$4,0))) + IF(AND($C12=H12,$D12=I12),'Tabla general'!$L$5,0))</f>
        <v>0</v>
      </c>
      <c r="K12" s="29">
        <v>1</v>
      </c>
      <c r="L12" s="27">
        <v>1</v>
      </c>
      <c r="M12" s="7">
        <f>IF(AND($C12="",$D12=""),0,IF(AND($C12&gt;$D12,K12&gt;L12),'Tabla general'!$L$4,IF(AND($D12&gt;$C12,L12&gt;K12),'Tabla general'!$L$4,IF(AND($C12=$D12,K12=L12),'Tabla general'!$L$4,0))) + IF(AND($C12=K12,$D12=L12),'Tabla general'!$L$5,0))</f>
        <v>0</v>
      </c>
      <c r="N12" s="27">
        <v>1</v>
      </c>
      <c r="O12" s="27">
        <v>1</v>
      </c>
      <c r="P12" s="6">
        <f>IF(AND($C12="",$D12=""),0,IF(AND($C12&gt;$D12,N12&gt;O12),'Tabla general'!$L$4,IF(AND($D12&gt;$C12,O12&gt;N12),'Tabla general'!$L$4,IF(AND($C12=$D12,N12=O12),'Tabla general'!$L$4,0))) + IF(AND($C12=N12,$D12=O12),'Tabla general'!$L$5,0))</f>
        <v>0</v>
      </c>
      <c r="Q12" s="27">
        <v>1</v>
      </c>
      <c r="R12" s="27">
        <v>1</v>
      </c>
      <c r="S12" s="8">
        <f>IF(AND($C12="",$D12=""),0,IF(AND($C12&gt;$D12,Q12&gt;R12),'Tabla general'!$L$4,IF(AND($D12&gt;$C12,R12&gt;Q12),'Tabla general'!$L$4,IF(AND($C12=$D12,Q12=R12),'Tabla general'!$L$4,0))) + IF(AND($C12=Q12,$D12=R12),'Tabla general'!$L$5,0))</f>
        <v>0</v>
      </c>
    </row>
    <row r="13" spans="1:19">
      <c r="A13" s="5" t="s">
        <v>52</v>
      </c>
      <c r="B13" s="5" t="s">
        <v>69</v>
      </c>
      <c r="C13" s="36">
        <v>1</v>
      </c>
      <c r="D13" s="37">
        <v>2</v>
      </c>
      <c r="E13" s="27">
        <v>2</v>
      </c>
      <c r="F13" s="27">
        <v>0</v>
      </c>
      <c r="G13" s="22">
        <f>IF(AND($C13="",$D13=""),0,IF(AND($C13&gt;$D13,E13&gt;F13),'Tabla general'!$L$4,IF(AND($D13&gt;$C13,F13&gt;E13),'Tabla general'!$L$4,IF(AND($C13=$D13,E13=F13),'Tabla general'!$L$4,0))) + IF(AND($C13=E13,$D13=F13),'Tabla general'!$L$5,0))</f>
        <v>0</v>
      </c>
      <c r="H13" s="27">
        <v>2</v>
      </c>
      <c r="I13" s="27">
        <v>0</v>
      </c>
      <c r="J13" s="9">
        <f>IF(AND($C13="",$D13=""),0,IF(AND($C13&gt;$D13,H13&gt;I13),'Tabla general'!$L$4,IF(AND($D13&gt;$C13,I13&gt;H13),'Tabla general'!$L$4,IF(AND($C13=$D13,H13=I13),'Tabla general'!$L$4,0))) + IF(AND($C13=H13,$D13=I13),'Tabla general'!$L$5,0))</f>
        <v>0</v>
      </c>
      <c r="K13" s="29">
        <v>2</v>
      </c>
      <c r="L13" s="27">
        <v>1</v>
      </c>
      <c r="M13" s="7">
        <f>IF(AND($C13="",$D13=""),0,IF(AND($C13&gt;$D13,K13&gt;L13),'Tabla general'!$L$4,IF(AND($D13&gt;$C13,L13&gt;K13),'Tabla general'!$L$4,IF(AND($C13=$D13,K13=L13),'Tabla general'!$L$4,0))) + IF(AND($C13=K13,$D13=L13),'Tabla general'!$L$5,0))</f>
        <v>0</v>
      </c>
      <c r="N13" s="27">
        <v>1</v>
      </c>
      <c r="O13" s="27">
        <v>0</v>
      </c>
      <c r="P13" s="6">
        <f>IF(AND($C13="",$D13=""),0,IF(AND($C13&gt;$D13,N13&gt;O13),'Tabla general'!$L$4,IF(AND($D13&gt;$C13,O13&gt;N13),'Tabla general'!$L$4,IF(AND($C13=$D13,N13=O13),'Tabla general'!$L$4,0))) + IF(AND($C13=N13,$D13=O13),'Tabla general'!$L$5,0))</f>
        <v>0</v>
      </c>
      <c r="Q13" s="27">
        <v>2</v>
      </c>
      <c r="R13" s="27">
        <v>1</v>
      </c>
      <c r="S13" s="8">
        <f>IF(AND($C13="",$D13=""),0,IF(AND($C13&gt;$D13,Q13&gt;R13),'Tabla general'!$L$4,IF(AND($D13&gt;$C13,R13&gt;Q13),'Tabla general'!$L$4,IF(AND($C13=$D13,Q13=R13),'Tabla general'!$L$4,0))) + IF(AND($C13=Q13,$D13=R13),'Tabla general'!$L$5,0))</f>
        <v>0</v>
      </c>
    </row>
    <row r="14" spans="1:19">
      <c r="A14" s="5"/>
      <c r="B14" s="5"/>
      <c r="C14" s="5"/>
      <c r="D14" s="5"/>
      <c r="E14" s="46" t="s">
        <v>70</v>
      </c>
      <c r="F14" s="47"/>
      <c r="G14" s="17">
        <f>SUM(G$6:G$13,G$4)</f>
        <v>7</v>
      </c>
      <c r="H14" s="11"/>
      <c r="I14" s="11"/>
      <c r="J14" s="5">
        <f>SUM(J$6:J$13,J$4)</f>
        <v>5</v>
      </c>
      <c r="K14" s="24"/>
      <c r="L14" s="5"/>
      <c r="M14" s="5">
        <f>SUM(M$6:M$13,M$4)</f>
        <v>4</v>
      </c>
      <c r="N14" s="5"/>
      <c r="O14" s="5"/>
      <c r="P14" s="5">
        <f>SUM(P$6:P$13,P$4)</f>
        <v>6</v>
      </c>
      <c r="Q14" s="5"/>
      <c r="R14" s="5"/>
      <c r="S14" s="5">
        <f>SUM(S$6:S$13,S$4)</f>
        <v>9</v>
      </c>
    </row>
  </sheetData>
  <sheetProtection sheet="1" objects="1" scenarios="1"/>
  <mergeCells count="25">
    <mergeCell ref="Q4:R4"/>
    <mergeCell ref="E14:F14"/>
    <mergeCell ref="N5:O5"/>
    <mergeCell ref="Q5:R5"/>
    <mergeCell ref="C4:D4"/>
    <mergeCell ref="E4:F4"/>
    <mergeCell ref="H4:I4"/>
    <mergeCell ref="K4:L4"/>
    <mergeCell ref="N4:O4"/>
    <mergeCell ref="A5:B5"/>
    <mergeCell ref="C5:D5"/>
    <mergeCell ref="E5:F5"/>
    <mergeCell ref="H5:I5"/>
    <mergeCell ref="K5:L5"/>
    <mergeCell ref="H2:J2"/>
    <mergeCell ref="K2:M2"/>
    <mergeCell ref="N2:P2"/>
    <mergeCell ref="Q2:S2"/>
    <mergeCell ref="C3:D3"/>
    <mergeCell ref="E3:F3"/>
    <mergeCell ref="H3:I3"/>
    <mergeCell ref="K3:L3"/>
    <mergeCell ref="N3:O3"/>
    <mergeCell ref="E2:G2"/>
    <mergeCell ref="Q3:R3"/>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S13"/>
  <sheetViews>
    <sheetView tabSelected="1" workbookViewId="0">
      <pane xSplit="4" topLeftCell="E1" activePane="topRight" state="frozen"/>
      <selection pane="topRight" activeCell="C5" sqref="C5:D5"/>
    </sheetView>
  </sheetViews>
  <sheetFormatPr defaultColWidth="11.42578125" defaultRowHeight="15"/>
  <cols>
    <col min="1" max="1" width="19.42578125" customWidth="1"/>
    <col min="2" max="2" width="18.140625" bestFit="1" customWidth="1"/>
  </cols>
  <sheetData>
    <row r="1" spans="1:19">
      <c r="A1" s="34" t="s">
        <v>77</v>
      </c>
      <c r="B1" s="5"/>
      <c r="C1" s="5"/>
      <c r="D1" s="5"/>
      <c r="E1" s="10"/>
      <c r="F1" s="10"/>
      <c r="G1" s="10"/>
      <c r="H1" s="10"/>
      <c r="I1" s="10"/>
      <c r="J1" s="10"/>
      <c r="K1" s="5"/>
      <c r="L1" s="5"/>
      <c r="M1" s="5"/>
      <c r="N1" s="5"/>
      <c r="O1" s="5"/>
      <c r="P1" s="5"/>
      <c r="Q1" s="5"/>
      <c r="R1" s="5"/>
      <c r="S1" s="5"/>
    </row>
    <row r="2" spans="1:19">
      <c r="A2" s="5"/>
      <c r="B2" s="5" t="s">
        <v>39</v>
      </c>
      <c r="C2" s="5"/>
      <c r="D2" s="16"/>
      <c r="E2" s="48">
        <v>1</v>
      </c>
      <c r="F2" s="49"/>
      <c r="G2" s="50"/>
      <c r="H2" s="51">
        <v>2</v>
      </c>
      <c r="I2" s="52"/>
      <c r="J2" s="53"/>
      <c r="K2" s="54">
        <v>3</v>
      </c>
      <c r="L2" s="55"/>
      <c r="M2" s="56"/>
      <c r="N2" s="57">
        <v>4</v>
      </c>
      <c r="O2" s="58"/>
      <c r="P2" s="59"/>
      <c r="Q2" s="60">
        <v>5</v>
      </c>
      <c r="R2" s="61"/>
      <c r="S2" s="62"/>
    </row>
    <row r="3" spans="1:19">
      <c r="A3" s="5"/>
      <c r="B3" s="5" t="s">
        <v>40</v>
      </c>
      <c r="C3" s="74" t="s">
        <v>41</v>
      </c>
      <c r="D3" s="75"/>
      <c r="E3" s="76" t="str">
        <f>VLOOKUP(E$2,[0]!participantes,2)</f>
        <v>Carlos Ruíz</v>
      </c>
      <c r="F3" s="76"/>
      <c r="G3" s="39" t="s">
        <v>34</v>
      </c>
      <c r="H3" s="51" t="str">
        <f>VLOOKUP(H$2,[0]!participantes,2)</f>
        <v>Javier Ruíz</v>
      </c>
      <c r="I3" s="52"/>
      <c r="J3" s="30" t="s">
        <v>34</v>
      </c>
      <c r="K3" s="54" t="str">
        <f>VLOOKUP(K$2,[0]!participantes,2)</f>
        <v>Jair Salomón</v>
      </c>
      <c r="L3" s="55"/>
      <c r="M3" s="31" t="s">
        <v>34</v>
      </c>
      <c r="N3" s="57" t="str">
        <f>VLOOKUP(N$2,[0]!participantes,2)</f>
        <v>Kevin Salomón</v>
      </c>
      <c r="O3" s="58"/>
      <c r="P3" s="32" t="s">
        <v>34</v>
      </c>
      <c r="Q3" s="60" t="str">
        <f>VLOOKUP(Q$2,[0]!participantes,2)</f>
        <v>Roberto Ruíz</v>
      </c>
      <c r="R3" s="61"/>
      <c r="S3" s="33" t="s">
        <v>34</v>
      </c>
    </row>
    <row r="4" spans="1:19" ht="15.75" thickBot="1">
      <c r="A4" s="10"/>
      <c r="B4" s="10" t="s">
        <v>42</v>
      </c>
      <c r="C4" s="79">
        <f>SUM(C6:D12)</f>
        <v>20</v>
      </c>
      <c r="D4" s="80"/>
      <c r="E4" s="69">
        <v>18</v>
      </c>
      <c r="F4" s="70"/>
      <c r="G4" s="18">
        <f>IF(E4=$C$4,'Tabla general'!$L$6,0)</f>
        <v>0</v>
      </c>
      <c r="H4" s="71">
        <v>19</v>
      </c>
      <c r="I4" s="71"/>
      <c r="J4" s="25">
        <f>IF(H4=$C$4,'Tabla general'!$L$6,0)</f>
        <v>0</v>
      </c>
      <c r="K4" s="72">
        <v>19</v>
      </c>
      <c r="L4" s="70"/>
      <c r="M4" s="19">
        <f>IF(K4=$C$4,'Tabla general'!$L$6,0)</f>
        <v>0</v>
      </c>
      <c r="N4" s="69">
        <v>15</v>
      </c>
      <c r="O4" s="70"/>
      <c r="P4" s="20">
        <f>IF(N4=$C$4,'Tabla general'!$L$6,0)</f>
        <v>0</v>
      </c>
      <c r="Q4" s="69">
        <v>17</v>
      </c>
      <c r="R4" s="70"/>
      <c r="S4" s="21">
        <f>IF(Q4=$C$4,'Tabla general'!$L$6,0)</f>
        <v>0</v>
      </c>
    </row>
    <row r="5" spans="1:19" s="23" customFormat="1" ht="15.75" thickBot="1">
      <c r="A5" s="73" t="s">
        <v>43</v>
      </c>
      <c r="B5" s="73"/>
      <c r="C5" s="74" t="s">
        <v>44</v>
      </c>
      <c r="D5" s="75"/>
      <c r="E5" s="64" t="s">
        <v>45</v>
      </c>
      <c r="F5" s="64"/>
      <c r="G5" s="41" t="s">
        <v>34</v>
      </c>
      <c r="H5" s="65" t="s">
        <v>45</v>
      </c>
      <c r="I5" s="65"/>
      <c r="J5" s="42" t="s">
        <v>34</v>
      </c>
      <c r="K5" s="66" t="s">
        <v>45</v>
      </c>
      <c r="L5" s="67"/>
      <c r="M5" s="43" t="s">
        <v>34</v>
      </c>
      <c r="N5" s="68" t="s">
        <v>45</v>
      </c>
      <c r="O5" s="68"/>
      <c r="P5" s="44" t="s">
        <v>34</v>
      </c>
      <c r="Q5" s="63" t="s">
        <v>45</v>
      </c>
      <c r="R5" s="63"/>
      <c r="S5" s="40" t="s">
        <v>34</v>
      </c>
    </row>
    <row r="6" spans="1:19">
      <c r="A6" s="5" t="s">
        <v>56</v>
      </c>
      <c r="B6" s="5" t="s">
        <v>68</v>
      </c>
      <c r="C6" s="36">
        <v>1</v>
      </c>
      <c r="D6" s="37">
        <v>1</v>
      </c>
      <c r="E6" s="26">
        <v>0</v>
      </c>
      <c r="F6" s="26">
        <v>1</v>
      </c>
      <c r="G6" s="22">
        <f>IF(AND($C6="",$D6=""),0,IF(AND($C6&gt;$D6,E6&gt;F6),'Tabla general'!$L$4,IF(AND($D6&gt;$C6,F6&gt;E6),'Tabla general'!$L$4,IF(AND($C6=$D6,E6=F6),'Tabla general'!$L$4,0))) + IF(AND($C6=E6,$D6=F6),'Tabla general'!$L$5,0))</f>
        <v>0</v>
      </c>
      <c r="H6" s="26">
        <v>0</v>
      </c>
      <c r="I6" s="26">
        <v>2</v>
      </c>
      <c r="J6" s="12">
        <f>IF(AND($C6="",$D6=""),0,IF(AND($C6&gt;$D6,H6&gt;I6),'Tabla general'!$L$4,IF(AND($D6&gt;$C6,I6&gt;H6),'Tabla general'!$L$4,IF(AND($C6=$D6,H6=I6),'Tabla general'!$L$4,0))) + IF(AND($C6=H6,$D6=I6),'Tabla general'!$L$5,0))</f>
        <v>0</v>
      </c>
      <c r="K6" s="28">
        <v>0</v>
      </c>
      <c r="L6" s="26">
        <v>2</v>
      </c>
      <c r="M6" s="13">
        <f>IF(AND($C6="",$D6=""),0,IF(AND($C6&gt;$D6,K6&gt;L6),'Tabla general'!$L$4,IF(AND($D6&gt;$C6,L6&gt;K6),'Tabla general'!$L$4,IF(AND($C6=$D6,K6=L6),'Tabla general'!$L$4,0))) + IF(AND($C6=K6,$D6=L6),'Tabla general'!$L$5,0))</f>
        <v>0</v>
      </c>
      <c r="N6" s="26">
        <v>1</v>
      </c>
      <c r="O6" s="26">
        <v>1</v>
      </c>
      <c r="P6" s="14">
        <f>IF(AND($C6="",$D6=""),0,IF(AND($C6&gt;$D6,N6&gt;O6),'Tabla general'!$L$4,IF(AND($D6&gt;$C6,O6&gt;N6),'Tabla general'!$L$4,IF(AND($C6=$D6,N6=O6),'Tabla general'!$L$4,0))) + IF(AND($C6=N6,$D6=O6),'Tabla general'!$L$5,0))</f>
        <v>2</v>
      </c>
      <c r="Q6" s="26">
        <v>1</v>
      </c>
      <c r="R6" s="26">
        <v>1</v>
      </c>
      <c r="S6" s="15">
        <f>IF(AND($C6="",$D6=""),0,IF(AND($C6&gt;$D6,Q6&gt;R6),'Tabla general'!$L$4,IF(AND($D6&gt;$C6,R6&gt;Q6),'Tabla general'!$L$4,IF(AND($C6=$D6,Q6=R6),'Tabla general'!$L$4,0))) + IF(AND($C6=Q6,$D6=R6),'Tabla general'!$L$5,0))</f>
        <v>2</v>
      </c>
    </row>
    <row r="7" spans="1:19">
      <c r="A7" s="5" t="s">
        <v>50</v>
      </c>
      <c r="B7" s="5" t="s">
        <v>64</v>
      </c>
      <c r="C7" s="36">
        <v>3</v>
      </c>
      <c r="D7" s="37">
        <v>1</v>
      </c>
      <c r="E7" s="27">
        <v>2</v>
      </c>
      <c r="F7" s="27">
        <v>1</v>
      </c>
      <c r="G7" s="22">
        <f>IF(AND($C7="",$D7=""),0,IF(AND($C7&gt;$D7,E7&gt;F7),'Tabla general'!$L$4,IF(AND($D7&gt;$C7,F7&gt;E7),'Tabla general'!$L$4,IF(AND($C7=$D7,E7=F7),'Tabla general'!$L$4,0))) + IF(AND($C7=E7,$D7=F7),'Tabla general'!$L$5,0))</f>
        <v>1</v>
      </c>
      <c r="H7" s="27">
        <v>1</v>
      </c>
      <c r="I7" s="27">
        <v>3</v>
      </c>
      <c r="J7" s="9">
        <f>IF(AND($C7="",$D7=""),0,IF(AND($C7&gt;$D7,H7&gt;I7),'Tabla general'!$L$4,IF(AND($D7&gt;$C7,I7&gt;H7),'Tabla general'!$L$4,IF(AND($C7=$D7,H7=I7),'Tabla general'!$L$4,0))) + IF(AND($C7=H7,$D7=I7),'Tabla general'!$L$5,0))</f>
        <v>0</v>
      </c>
      <c r="K7" s="29">
        <v>2</v>
      </c>
      <c r="L7" s="27">
        <v>2</v>
      </c>
      <c r="M7" s="7">
        <f>IF(AND($C7="",$D7=""),0,IF(AND($C7&gt;$D7,K7&gt;L7),'Tabla general'!$L$4,IF(AND($D7&gt;$C7,L7&gt;K7),'Tabla general'!$L$4,IF(AND($C7=$D7,K7=L7),'Tabla general'!$L$4,0))) + IF(AND($C7=K7,$D7=L7),'Tabla general'!$L$5,0))</f>
        <v>0</v>
      </c>
      <c r="N7" s="27">
        <v>1</v>
      </c>
      <c r="O7" s="27">
        <v>2</v>
      </c>
      <c r="P7" s="6">
        <f>IF(AND($C7="",$D7=""),0,IF(AND($C7&gt;$D7,N7&gt;O7),'Tabla general'!$L$4,IF(AND($D7&gt;$C7,O7&gt;N7),'Tabla general'!$L$4,IF(AND($C7=$D7,N7=O7),'Tabla general'!$L$4,0))) + IF(AND($C7=N7,$D7=O7),'Tabla general'!$L$5,0))</f>
        <v>0</v>
      </c>
      <c r="Q7" s="27">
        <v>0</v>
      </c>
      <c r="R7" s="27">
        <v>1</v>
      </c>
      <c r="S7" s="8">
        <f>IF(AND($C7="",$D7=""),0,IF(AND($C7&gt;$D7,Q7&gt;R7),'Tabla general'!$L$4,IF(AND($D7&gt;$C7,R7&gt;Q7),'Tabla general'!$L$4,IF(AND($C7=$D7,Q7=R7),'Tabla general'!$L$4,0))) + IF(AND($C7=Q7,$D7=R7),'Tabla general'!$L$5,0))</f>
        <v>0</v>
      </c>
    </row>
    <row r="8" spans="1:19">
      <c r="A8" s="5" t="s">
        <v>58</v>
      </c>
      <c r="B8" s="5" t="s">
        <v>65</v>
      </c>
      <c r="C8" s="36">
        <v>1</v>
      </c>
      <c r="D8" s="37">
        <v>1</v>
      </c>
      <c r="E8" s="27">
        <v>1</v>
      </c>
      <c r="F8" s="27">
        <v>2</v>
      </c>
      <c r="G8" s="22">
        <f>IF(AND($C8="",$D8=""),0,IF(AND($C8&gt;$D8,E8&gt;F8),'Tabla general'!$L$4,IF(AND($D8&gt;$C8,F8&gt;E8),'Tabla general'!$L$4,IF(AND($C8=$D8,E8=F8),'Tabla general'!$L$4,0))) + IF(AND($C8=E8,$D8=F8),'Tabla general'!$L$5,0))</f>
        <v>0</v>
      </c>
      <c r="H8" s="27">
        <v>2</v>
      </c>
      <c r="I8" s="27">
        <v>1</v>
      </c>
      <c r="J8" s="9">
        <f>IF(AND($C8="",$D8=""),0,IF(AND($C8&gt;$D8,H8&gt;I8),'Tabla general'!$L$4,IF(AND($D8&gt;$C8,I8&gt;H8),'Tabla general'!$L$4,IF(AND($C8=$D8,H8=I8),'Tabla general'!$L$4,0))) + IF(AND($C8=H8,$D8=I8),'Tabla general'!$L$5,0))</f>
        <v>0</v>
      </c>
      <c r="K8" s="29">
        <v>2</v>
      </c>
      <c r="L8" s="27">
        <v>1</v>
      </c>
      <c r="M8" s="7">
        <f>IF(AND($C8="",$D8=""),0,IF(AND($C8&gt;$D8,K8&gt;L8),'Tabla general'!$L$4,IF(AND($D8&gt;$C8,L8&gt;K8),'Tabla general'!$L$4,IF(AND($C8=$D8,K8=L8),'Tabla general'!$L$4,0))) + IF(AND($C8=K8,$D8=L8),'Tabla general'!$L$5,0))</f>
        <v>0</v>
      </c>
      <c r="N8" s="27">
        <v>1</v>
      </c>
      <c r="O8" s="27">
        <v>1</v>
      </c>
      <c r="P8" s="6">
        <f>IF(AND($C8="",$D8=""),0,IF(AND($C8&gt;$D8,N8&gt;O8),'Tabla general'!$L$4,IF(AND($D8&gt;$C8,O8&gt;N8),'Tabla general'!$L$4,IF(AND($C8=$D8,N8=O8),'Tabla general'!$L$4,0))) + IF(AND($C8=N8,$D8=O8),'Tabla general'!$L$5,0))</f>
        <v>2</v>
      </c>
      <c r="Q8" s="27">
        <v>1</v>
      </c>
      <c r="R8" s="27">
        <v>2</v>
      </c>
      <c r="S8" s="8">
        <f>IF(AND($C8="",$D8=""),0,IF(AND($C8&gt;$D8,Q8&gt;R8),'Tabla general'!$L$4,IF(AND($D8&gt;$C8,R8&gt;Q8),'Tabla general'!$L$4,IF(AND($C8=$D8,Q8=R8),'Tabla general'!$L$4,0))) + IF(AND($C8=Q8,$D8=R8),'Tabla general'!$L$5,0))</f>
        <v>0</v>
      </c>
    </row>
    <row r="9" spans="1:19">
      <c r="A9" s="11" t="s">
        <v>46</v>
      </c>
      <c r="B9" s="11" t="s">
        <v>69</v>
      </c>
      <c r="C9" s="36">
        <v>5</v>
      </c>
      <c r="D9" s="37">
        <v>2</v>
      </c>
      <c r="E9" s="27">
        <v>2</v>
      </c>
      <c r="F9" s="27">
        <v>1</v>
      </c>
      <c r="G9" s="22">
        <f>IF(AND($C9="",$D9=""),0,IF(AND($C9&gt;$D9,E9&gt;F9),'Tabla general'!$L$4,IF(AND($D9&gt;$C9,F9&gt;E9),'Tabla general'!$L$4,IF(AND($C9=$D9,E9=F9),'Tabla general'!$L$4,0))) + IF(AND($C9=E9,$D9=F9),'Tabla general'!$L$5,0))</f>
        <v>1</v>
      </c>
      <c r="H9" s="27">
        <v>2</v>
      </c>
      <c r="I9" s="27">
        <v>1</v>
      </c>
      <c r="J9" s="9">
        <f>IF(AND($C9="",$D9=""),0,IF(AND($C9&gt;$D9,H9&gt;I9),'Tabla general'!$L$4,IF(AND($D9&gt;$C9,I9&gt;H9),'Tabla general'!$L$4,IF(AND($C9=$D9,H9=I9),'Tabla general'!$L$4,0))) + IF(AND($C9=H9,$D9=I9),'Tabla general'!$L$5,0))</f>
        <v>1</v>
      </c>
      <c r="K9" s="29">
        <v>2</v>
      </c>
      <c r="L9" s="27">
        <v>1</v>
      </c>
      <c r="M9" s="7">
        <f>IF(AND($C9="",$D9=""),0,IF(AND($C9&gt;$D9,K9&gt;L9),'Tabla general'!$L$4,IF(AND($D9&gt;$C9,L9&gt;K9),'Tabla general'!$L$4,IF(AND($C9=$D9,K9=L9),'Tabla general'!$L$4,0))) + IF(AND($C9=K9,$D9=L9),'Tabla general'!$L$5,0))</f>
        <v>1</v>
      </c>
      <c r="N9" s="27">
        <v>2</v>
      </c>
      <c r="O9" s="27">
        <v>1</v>
      </c>
      <c r="P9" s="6">
        <f>IF(AND($C9="",$D9=""),0,IF(AND($C9&gt;$D9,N9&gt;O9),'Tabla general'!$L$4,IF(AND($D9&gt;$C9,O9&gt;N9),'Tabla general'!$L$4,IF(AND($C9=$D9,N9=O9),'Tabla general'!$L$4,0))) + IF(AND($C9=N9,$D9=O9),'Tabla general'!$L$5,0))</f>
        <v>1</v>
      </c>
      <c r="Q9" s="27">
        <v>2</v>
      </c>
      <c r="R9" s="27">
        <v>1</v>
      </c>
      <c r="S9" s="8">
        <f>IF(AND($C9="",$D9=""),0,IF(AND($C9&gt;$D9,Q9&gt;R9),'Tabla general'!$L$4,IF(AND($D9&gt;$C9,R9&gt;Q9),'Tabla general'!$L$4,IF(AND($C9=$D9,Q9=R9),'Tabla general'!$L$4,0))) + IF(AND($C9=Q9,$D9=R9),'Tabla general'!$L$5,0))</f>
        <v>1</v>
      </c>
    </row>
    <row r="10" spans="1:19">
      <c r="A10" s="38" t="s">
        <v>68</v>
      </c>
      <c r="B10" s="38" t="s">
        <v>50</v>
      </c>
      <c r="C10" s="36">
        <v>2</v>
      </c>
      <c r="D10" s="37">
        <v>0</v>
      </c>
      <c r="E10" s="27">
        <v>1</v>
      </c>
      <c r="F10" s="27">
        <v>0</v>
      </c>
      <c r="G10" s="22">
        <f>IF(AND($C10="",$D10=""),0,IF(AND($C10&gt;$D10,E10&gt;F10),'Tabla general'!$L$4,IF(AND($D10&gt;$C10,F10&gt;E10),'Tabla general'!$L$4,IF(AND($C10=$D10,E10=F10),'Tabla general'!$L$4,0))) + IF(AND($C10=E10,$D10=F10),'Tabla general'!$L$5,0))</f>
        <v>1</v>
      </c>
      <c r="H10" s="27">
        <v>1</v>
      </c>
      <c r="I10" s="27">
        <v>2</v>
      </c>
      <c r="J10" s="9">
        <f>IF(AND($C10="",$D10=""),0,IF(AND($C10&gt;$D10,H10&gt;I10),'Tabla general'!$L$4,IF(AND($D10&gt;$C10,I10&gt;H10),'Tabla general'!$L$4,IF(AND($C10=$D10,H10=I10),'Tabla general'!$L$4,0))) + IF(AND($C10=H10,$D10=I10),'Tabla general'!$L$5,0))</f>
        <v>0</v>
      </c>
      <c r="K10" s="29">
        <v>1</v>
      </c>
      <c r="L10" s="27">
        <v>2</v>
      </c>
      <c r="M10" s="7">
        <f>IF(AND($C10="",$D10=""),0,IF(AND($C10&gt;$D10,K10&gt;L10),'Tabla general'!$L$4,IF(AND($D10&gt;$C10,L10&gt;K10),'Tabla general'!$L$4,IF(AND($C10=$D10,K10=L10),'Tabla general'!$L$4,0))) + IF(AND($C10=K10,$D10=L10),'Tabla general'!$L$5,0))</f>
        <v>0</v>
      </c>
      <c r="N10" s="27">
        <v>1</v>
      </c>
      <c r="O10" s="27">
        <v>1</v>
      </c>
      <c r="P10" s="6">
        <f>IF(AND($C10="",$D10=""),0,IF(AND($C10&gt;$D10,N10&gt;O10),'Tabla general'!$L$4,IF(AND($D10&gt;$C10,O10&gt;N10),'Tabla general'!$L$4,IF(AND($C10=$D10,N10=O10),'Tabla general'!$L$4,0))) + IF(AND($C10=N10,$D10=O10),'Tabla general'!$L$5,0))</f>
        <v>0</v>
      </c>
      <c r="Q10" s="27">
        <v>1</v>
      </c>
      <c r="R10" s="27">
        <v>1</v>
      </c>
      <c r="S10" s="8">
        <f>IF(AND($C10="",$D10=""),0,IF(AND($C10&gt;$D10,Q10&gt;R10),'Tabla general'!$L$4,IF(AND($D10&gt;$C10,R10&gt;Q10),'Tabla general'!$L$4,IF(AND($C10=$D10,Q10=R10),'Tabla general'!$L$4,0))) + IF(AND($C10=Q10,$D10=R10),'Tabla general'!$L$5,0))</f>
        <v>0</v>
      </c>
    </row>
    <row r="11" spans="1:19">
      <c r="A11" s="38" t="s">
        <v>58</v>
      </c>
      <c r="B11" s="38" t="s">
        <v>46</v>
      </c>
      <c r="C11" s="36">
        <v>0</v>
      </c>
      <c r="D11" s="37">
        <v>2</v>
      </c>
      <c r="E11" s="27">
        <v>0</v>
      </c>
      <c r="F11" s="27">
        <v>2</v>
      </c>
      <c r="G11" s="22">
        <f>IF(AND($C11="",$D11=""),0,IF(AND($C11&gt;$D11,E11&gt;F11),'Tabla general'!$L$4,IF(AND($D11&gt;$C11,F11&gt;E11),'Tabla general'!$L$4,IF(AND($C11=$D11,E11=F11),'Tabla general'!$L$4,0))) + IF(AND($C11=E11,$D11=F11),'Tabla general'!$L$5,0))</f>
        <v>2</v>
      </c>
      <c r="H11" s="27">
        <v>2</v>
      </c>
      <c r="I11" s="27">
        <v>1</v>
      </c>
      <c r="J11" s="9">
        <f>IF(AND($C11="",$D11=""),0,IF(AND($C11&gt;$D11,H11&gt;I11),'Tabla general'!$L$4,IF(AND($D11&gt;$C11,I11&gt;H11),'Tabla general'!$L$4,IF(AND($C11=$D11,H11=I11),'Tabla general'!$L$4,0))) + IF(AND($C11=H11,$D11=I11),'Tabla general'!$L$5,0))</f>
        <v>0</v>
      </c>
      <c r="K11" s="29">
        <v>2</v>
      </c>
      <c r="L11" s="27">
        <v>2</v>
      </c>
      <c r="M11" s="7">
        <f>IF(AND($C11="",$D11=""),0,IF(AND($C11&gt;$D11,K11&gt;L11),'Tabla general'!$L$4,IF(AND($D11&gt;$C11,L11&gt;K11),'Tabla general'!$L$4,IF(AND($C11=$D11,K11=L11),'Tabla general'!$L$4,0))) + IF(AND($C11=K11,$D11=L11),'Tabla general'!$L$5,0))</f>
        <v>0</v>
      </c>
      <c r="N11" s="27">
        <v>2</v>
      </c>
      <c r="O11" s="27">
        <v>1</v>
      </c>
      <c r="P11" s="6">
        <f>IF(AND($C11="",$D11=""),0,IF(AND($C11&gt;$D11,N11&gt;O11),'Tabla general'!$L$4,IF(AND($D11&gt;$C11,O11&gt;N11),'Tabla general'!$L$4,IF(AND($C11=$D11,N11=O11),'Tabla general'!$L$4,0))) + IF(AND($C11=N11,$D11=O11),'Tabla general'!$L$5,0))</f>
        <v>0</v>
      </c>
      <c r="Q11" s="27">
        <v>1</v>
      </c>
      <c r="R11" s="27">
        <v>2</v>
      </c>
      <c r="S11" s="8">
        <f>IF(AND($C11="",$D11=""),0,IF(AND($C11&gt;$D11,Q11&gt;R11),'Tabla general'!$L$4,IF(AND($D11&gt;$C11,R11&gt;Q11),'Tabla general'!$L$4,IF(AND($C11=$D11,Q11=R11),'Tabla general'!$L$4,0))) + IF(AND($C11=Q11,$D11=R11),'Tabla general'!$L$5,0))</f>
        <v>1</v>
      </c>
    </row>
    <row r="12" spans="1:19">
      <c r="A12" s="38" t="s">
        <v>68</v>
      </c>
      <c r="B12" s="38" t="s">
        <v>46</v>
      </c>
      <c r="C12" s="36">
        <v>1</v>
      </c>
      <c r="D12" s="37">
        <v>0</v>
      </c>
      <c r="E12" s="27">
        <v>1</v>
      </c>
      <c r="F12" s="27">
        <v>1</v>
      </c>
      <c r="G12" s="22">
        <f>IF(AND($C12="",$D12=""),0,IF(AND($C12&gt;$D12,E12&gt;F12),'Tabla general'!$L$4,IF(AND($D12&gt;$C12,F12&gt;E12),'Tabla general'!$L$4,IF(AND($C12=$D12,E12=F12),'Tabla general'!$L$4,0))) + IF(AND($C12=E12,$D12=F12),'Tabla general'!$L$5,0))</f>
        <v>0</v>
      </c>
      <c r="H12" s="27">
        <v>0</v>
      </c>
      <c r="I12" s="27">
        <v>0</v>
      </c>
      <c r="J12" s="9">
        <f>IF(AND($C12="",$D12=""),0,IF(AND($C12&gt;$D12,H12&gt;I12),'Tabla general'!$L$4,IF(AND($D12&gt;$C12,I12&gt;H12),'Tabla general'!$L$4,IF(AND($C12=$D12,H12=I12),'Tabla general'!$L$4,0))) + IF(AND($C12=H12,$D12=I12),'Tabla general'!$L$5,0))</f>
        <v>0</v>
      </c>
      <c r="K12" s="29">
        <v>0</v>
      </c>
      <c r="L12" s="27">
        <v>2</v>
      </c>
      <c r="M12" s="7">
        <f>IF(AND($C12="",$D12=""),0,IF(AND($C12&gt;$D12,K12&gt;L12),'Tabla general'!$L$4,IF(AND($D12&gt;$C12,L12&gt;K12),'Tabla general'!$L$4,IF(AND($C12=$D12,K12=L12),'Tabla general'!$L$4,0))) + IF(AND($C12=K12,$D12=L12),'Tabla general'!$L$5,0))</f>
        <v>0</v>
      </c>
      <c r="N12" s="27">
        <v>1</v>
      </c>
      <c r="O12" s="27">
        <v>1</v>
      </c>
      <c r="P12" s="6">
        <f>IF(AND($C12="",$D12=""),0,IF(AND($C12&gt;$D12,N12&gt;O12),'Tabla general'!$L$4,IF(AND($D12&gt;$C12,O12&gt;N12),'Tabla general'!$L$4,IF(AND($C12=$D12,N12=O12),'Tabla general'!$L$4,0))) + IF(AND($C12=N12,$D12=O12),'Tabla general'!$L$5,0))</f>
        <v>0</v>
      </c>
      <c r="Q12" s="27">
        <v>1</v>
      </c>
      <c r="R12" s="27">
        <v>2</v>
      </c>
      <c r="S12" s="8">
        <f>IF(AND($C12="",$D12=""),0,IF(AND($C12&gt;$D12,Q12&gt;R12),'Tabla general'!$L$4,IF(AND($D12&gt;$C12,R12&gt;Q12),'Tabla general'!$L$4,IF(AND($C12=$D12,Q12=R12),'Tabla general'!$L$4,0))) + IF(AND($C12=Q12,$D12=R12),'Tabla general'!$L$5,0))</f>
        <v>0</v>
      </c>
    </row>
    <row r="13" spans="1:19">
      <c r="A13" s="5"/>
      <c r="B13" s="5"/>
      <c r="C13" s="5"/>
      <c r="D13" s="5"/>
      <c r="E13" s="46" t="s">
        <v>70</v>
      </c>
      <c r="F13" s="47"/>
      <c r="G13" s="17">
        <f>SUM(G$6:G$12,G$4)</f>
        <v>5</v>
      </c>
      <c r="H13" s="11"/>
      <c r="I13" s="11"/>
      <c r="J13" s="5">
        <f>SUM(J$6:J$12,J$4)</f>
        <v>1</v>
      </c>
      <c r="K13" s="24"/>
      <c r="L13" s="5"/>
      <c r="M13" s="5">
        <f>SUM(M$6:M$12,M$4)</f>
        <v>1</v>
      </c>
      <c r="N13" s="5"/>
      <c r="O13" s="5"/>
      <c r="P13" s="5">
        <f>SUM(P$6:P$12,P$4)</f>
        <v>5</v>
      </c>
      <c r="Q13" s="5"/>
      <c r="R13" s="5"/>
      <c r="S13" s="5">
        <f>SUM(S$6:S$12,S$4)</f>
        <v>4</v>
      </c>
    </row>
  </sheetData>
  <sheetProtection sheet="1" objects="1" scenarios="1"/>
  <mergeCells count="25">
    <mergeCell ref="Q4:R4"/>
    <mergeCell ref="E13:F13"/>
    <mergeCell ref="N5:O5"/>
    <mergeCell ref="Q5:R5"/>
    <mergeCell ref="C4:D4"/>
    <mergeCell ref="E4:F4"/>
    <mergeCell ref="H4:I4"/>
    <mergeCell ref="K4:L4"/>
    <mergeCell ref="N4:O4"/>
    <mergeCell ref="A5:B5"/>
    <mergeCell ref="C5:D5"/>
    <mergeCell ref="E5:F5"/>
    <mergeCell ref="H5:I5"/>
    <mergeCell ref="K5:L5"/>
    <mergeCell ref="H2:J2"/>
    <mergeCell ref="K2:M2"/>
    <mergeCell ref="N2:P2"/>
    <mergeCell ref="Q2:S2"/>
    <mergeCell ref="C3:D3"/>
    <mergeCell ref="E3:F3"/>
    <mergeCell ref="H3:I3"/>
    <mergeCell ref="K3:L3"/>
    <mergeCell ref="N3:O3"/>
    <mergeCell ref="E2:G2"/>
    <mergeCell ref="Q3:R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KevinSalomon</dc:creator>
  <cp:keywords/>
  <dc:description/>
  <cp:lastModifiedBy>Kevin Salomón Hernández</cp:lastModifiedBy>
  <cp:revision/>
  <dcterms:created xsi:type="dcterms:W3CDTF">2016-05-29T17:24:25Z</dcterms:created>
  <dcterms:modified xsi:type="dcterms:W3CDTF">2026-03-24T05:02:45Z</dcterms:modified>
  <cp:category/>
  <cp:contentStatus/>
</cp:coreProperties>
</file>